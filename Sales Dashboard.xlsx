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 Analytics\Excel\"/>
    </mc:Choice>
  </mc:AlternateContent>
  <xr:revisionPtr revIDLastSave="0" documentId="13_ncr:1_{AEFF1E70-42E2-472E-8419-0792AB0BC61A}" xr6:coauthVersionLast="47" xr6:coauthVersionMax="47" xr10:uidLastSave="{00000000-0000-0000-0000-000000000000}"/>
  <bookViews>
    <workbookView xWindow="-108" yWindow="-108" windowWidth="23256" windowHeight="12456" activeTab="2" xr2:uid="{B2482951-A70C-4456-8D1B-7B98621BC2D2}"/>
  </bookViews>
  <sheets>
    <sheet name="Sales Dataset" sheetId="1" r:id="rId1"/>
    <sheet name="Sheet4" sheetId="5" r:id="rId2"/>
    <sheet name="Dashboard" sheetId="3" r:id="rId3"/>
  </sheets>
  <definedNames>
    <definedName name="Slicer_Months__Order_Date">#N/A</definedName>
    <definedName name="Slicer_St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196" i="1" l="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D1196" i="1"/>
  <c r="B1196" i="1"/>
  <c r="A1196" i="1"/>
  <c r="C1196" i="1"/>
  <c r="U11" i="5"/>
  <c r="U10" i="5"/>
  <c r="U9" i="5"/>
  <c r="U8" i="5"/>
  <c r="U7" i="5"/>
  <c r="U6" i="5"/>
  <c r="U5" i="5"/>
  <c r="U4" i="5"/>
  <c r="U3" i="5"/>
  <c r="U2" i="5"/>
  <c r="U1" i="5"/>
  <c r="Q9" i="5"/>
  <c r="R14" i="5"/>
  <c r="P14" i="5"/>
  <c r="R13" i="5"/>
  <c r="P13" i="5"/>
  <c r="R12" i="5"/>
  <c r="P12" i="5"/>
  <c r="R11" i="5"/>
  <c r="P11" i="5"/>
  <c r="R10" i="5"/>
  <c r="P10" i="5"/>
  <c r="R9" i="5"/>
  <c r="P9" i="5"/>
  <c r="Q14" i="5"/>
  <c r="C10" i="5"/>
  <c r="Q13" i="5"/>
  <c r="C7" i="5"/>
  <c r="Q12" i="5"/>
  <c r="C13" i="5"/>
  <c r="Q11" i="5"/>
  <c r="C4" i="5"/>
  <c r="Q10" i="5"/>
  <c r="U12" i="5"/>
  <c r="C16" i="5" l="1"/>
  <c r="S4" i="1"/>
</calcChain>
</file>

<file path=xl/sharedStrings.xml><?xml version="1.0" encoding="utf-8"?>
<sst xmlns="http://schemas.openxmlformats.org/spreadsheetml/2006/main" count="8440" uniqueCount="1436">
  <si>
    <t>Order ID</t>
  </si>
  <si>
    <t>Profit</t>
  </si>
  <si>
    <t>Quantity</t>
  </si>
  <si>
    <t>Category</t>
  </si>
  <si>
    <t>PaymentMode</t>
  </si>
  <si>
    <t>Order Date</t>
  </si>
  <si>
    <t>CustomerName</t>
  </si>
  <si>
    <t>State</t>
  </si>
  <si>
    <t>City</t>
  </si>
  <si>
    <t>B-26776</t>
  </si>
  <si>
    <t>Electronics</t>
  </si>
  <si>
    <t>Electronic Games</t>
  </si>
  <si>
    <t>UPI</t>
  </si>
  <si>
    <t>David Padilla</t>
  </si>
  <si>
    <t>Florida</t>
  </si>
  <si>
    <t>Miami</t>
  </si>
  <si>
    <t>Connor Morgan</t>
  </si>
  <si>
    <t>Illinois</t>
  </si>
  <si>
    <t>Chicago</t>
  </si>
  <si>
    <t>Robert Stone</t>
  </si>
  <si>
    <t>New York</t>
  </si>
  <si>
    <t>Buffalo</t>
  </si>
  <si>
    <t>Printers</t>
  </si>
  <si>
    <t>B-26942</t>
  </si>
  <si>
    <t>Office Supplies</t>
  </si>
  <si>
    <t>Pens</t>
  </si>
  <si>
    <t>Debit Card</t>
  </si>
  <si>
    <t>John Fields</t>
  </si>
  <si>
    <t>Orlando</t>
  </si>
  <si>
    <t>Clayton Smith</t>
  </si>
  <si>
    <t>B-26640</t>
  </si>
  <si>
    <t>Laptops</t>
  </si>
  <si>
    <t>EMI</t>
  </si>
  <si>
    <t>Richard Kelley</t>
  </si>
  <si>
    <t>California</t>
  </si>
  <si>
    <t>Los Angeles</t>
  </si>
  <si>
    <t>Furniture</t>
  </si>
  <si>
    <t>Tables</t>
  </si>
  <si>
    <t>Credit Card</t>
  </si>
  <si>
    <t>B-25890</t>
  </si>
  <si>
    <t>Chairs</t>
  </si>
  <si>
    <t>Jacqueline Hubbard</t>
  </si>
  <si>
    <t>New York City</t>
  </si>
  <si>
    <t>B-25102</t>
  </si>
  <si>
    <t>Jessica Anderson</t>
  </si>
  <si>
    <t>B-25426</t>
  </si>
  <si>
    <t>Markers</t>
  </si>
  <si>
    <t>Mary Taylor</t>
  </si>
  <si>
    <t>Sofas</t>
  </si>
  <si>
    <t>B-25238</t>
  </si>
  <si>
    <t>Walter Crawford</t>
  </si>
  <si>
    <t>Springfield</t>
  </si>
  <si>
    <t>Paper</t>
  </si>
  <si>
    <t>COD</t>
  </si>
  <si>
    <t>B-25051</t>
  </si>
  <si>
    <t>Lawrence Robinson</t>
  </si>
  <si>
    <t>Rochester</t>
  </si>
  <si>
    <t>B-26510</t>
  </si>
  <si>
    <t>Douglas Pennington</t>
  </si>
  <si>
    <t>Texas</t>
  </si>
  <si>
    <t>Dallas</t>
  </si>
  <si>
    <t>Ricardo Andrews</t>
  </si>
  <si>
    <t>San Diego</t>
  </si>
  <si>
    <t>B-25104</t>
  </si>
  <si>
    <t>Binders</t>
  </si>
  <si>
    <t>Paul Raymond</t>
  </si>
  <si>
    <t>B-25553</t>
  </si>
  <si>
    <t>Phones</t>
  </si>
  <si>
    <t>Karen Johnson</t>
  </si>
  <si>
    <t>B-26703</t>
  </si>
  <si>
    <t>Juan Erickson</t>
  </si>
  <si>
    <t>Austin</t>
  </si>
  <si>
    <t>B-26232</t>
  </si>
  <si>
    <t>Alexander Reed</t>
  </si>
  <si>
    <t>Jacqueline Harris</t>
  </si>
  <si>
    <t>San Francisco</t>
  </si>
  <si>
    <t>B-25394</t>
  </si>
  <si>
    <t>Tyler Park</t>
  </si>
  <si>
    <t>Richard Wolfe</t>
  </si>
  <si>
    <t>Ohio</t>
  </si>
  <si>
    <t>Columbus</t>
  </si>
  <si>
    <t>B-26157</t>
  </si>
  <si>
    <t>Sierra Rios</t>
  </si>
  <si>
    <t>B-25555</t>
  </si>
  <si>
    <t>Jessica Richardson</t>
  </si>
  <si>
    <t>Kimberly Warren</t>
  </si>
  <si>
    <t>Cincinnati</t>
  </si>
  <si>
    <t>Bookcases</t>
  </si>
  <si>
    <t>B-26139</t>
  </si>
  <si>
    <t>Casey Garcia</t>
  </si>
  <si>
    <t>B-25032</t>
  </si>
  <si>
    <t>Denise Hampton</t>
  </si>
  <si>
    <t>B-25730</t>
  </si>
  <si>
    <t>Justin Rodriguez</t>
  </si>
  <si>
    <t>Cleveland</t>
  </si>
  <si>
    <t>Ms. Emily Baxter</t>
  </si>
  <si>
    <t>Austin White</t>
  </si>
  <si>
    <t>B-26470</t>
  </si>
  <si>
    <t>Morgan Montes</t>
  </si>
  <si>
    <t>Christine Mosley</t>
  </si>
  <si>
    <t>Ashley Rodriguez</t>
  </si>
  <si>
    <t>Elizabeth King</t>
  </si>
  <si>
    <t>B-25988</t>
  </si>
  <si>
    <t>Connie Holmes</t>
  </si>
  <si>
    <t>B-25568</t>
  </si>
  <si>
    <t>Melissa Peck</t>
  </si>
  <si>
    <t>B-26730</t>
  </si>
  <si>
    <t>David Smith</t>
  </si>
  <si>
    <t>Houston</t>
  </si>
  <si>
    <t>B-25372</t>
  </si>
  <si>
    <t>Heather Jenkins</t>
  </si>
  <si>
    <t>B-26026</t>
  </si>
  <si>
    <t>Kelsey Castaneda</t>
  </si>
  <si>
    <t>Katherine Harris</t>
  </si>
  <si>
    <t>B-25295</t>
  </si>
  <si>
    <t>Paul Rogers</t>
  </si>
  <si>
    <t>B-26121</t>
  </si>
  <si>
    <t>Jon Banks</t>
  </si>
  <si>
    <t>Tampa</t>
  </si>
  <si>
    <t>Michelle Williams</t>
  </si>
  <si>
    <t>B-25560</t>
  </si>
  <si>
    <t>Andrew Allen</t>
  </si>
  <si>
    <t>B-26076</t>
  </si>
  <si>
    <t>Vanessa Bauer</t>
  </si>
  <si>
    <t>Sean Smith</t>
  </si>
  <si>
    <t>B-25872</t>
  </si>
  <si>
    <t>Shelly Sweeney</t>
  </si>
  <si>
    <t>B-26185</t>
  </si>
  <si>
    <t>Emily Gill</t>
  </si>
  <si>
    <t>Brian Patrick</t>
  </si>
  <si>
    <t>Dr. Sarah Booth</t>
  </si>
  <si>
    <t>B-26259</t>
  </si>
  <si>
    <t>Douglas Mcfarland</t>
  </si>
  <si>
    <t>Kayla Ross</t>
  </si>
  <si>
    <t>Peoria</t>
  </si>
  <si>
    <t>B-25142</t>
  </si>
  <si>
    <t>Marc Strickland</t>
  </si>
  <si>
    <t>B-25326</t>
  </si>
  <si>
    <t>Charlene Brown</t>
  </si>
  <si>
    <t>Charles Smith</t>
  </si>
  <si>
    <t>B-26795</t>
  </si>
  <si>
    <t>Karen Townsend</t>
  </si>
  <si>
    <t>B-25660</t>
  </si>
  <si>
    <t>Steven Cox</t>
  </si>
  <si>
    <t>Cynthia Rodriguez</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</si>
  <si>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</si>
  <si>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</si>
  <si>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</si>
  <si>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</si>
  <si>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</si>
  <si>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</si>
  <si>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</si>
  <si>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</si>
  <si>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</si>
  <si>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</si>
  <si>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</si>
  <si>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</si>
  <si>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</si>
  <si>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</si>
  <si>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</si>
  <si>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</si>
  <si>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</si>
  <si>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</si>
  <si>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</si>
  <si>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</si>
  <si>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</si>
  <si>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B-25884</t>
  </si>
  <si>
    <t>Sean Elliott</t>
  </si>
  <si>
    <t>Wanda West</t>
  </si>
  <si>
    <t>B-26287</t>
  </si>
  <si>
    <t>Renee Solomon</t>
  </si>
  <si>
    <t>B-26564</t>
  </si>
  <si>
    <t>Daryl Miles</t>
  </si>
  <si>
    <t>B-26293</t>
  </si>
  <si>
    <t>Michael Hunt</t>
  </si>
  <si>
    <t>B-25915</t>
  </si>
  <si>
    <t>Adam Clark</t>
  </si>
  <si>
    <t>Amy Olsen</t>
  </si>
  <si>
    <t>Stacey Miller</t>
  </si>
  <si>
    <t>B-26496</t>
  </si>
  <si>
    <t>Daniel Mosley</t>
  </si>
  <si>
    <t>B-25856</t>
  </si>
  <si>
    <t>Monica Gibson</t>
  </si>
  <si>
    <t>B-26899</t>
  </si>
  <si>
    <t>Christopher Jordan</t>
  </si>
  <si>
    <t>B-25916</t>
  </si>
  <si>
    <t>Christina Davis</t>
  </si>
  <si>
    <t>Claudia Curry</t>
  </si>
  <si>
    <t>B-26428</t>
  </si>
  <si>
    <t>Brandon Anderson</t>
  </si>
  <si>
    <t>B-26332</t>
  </si>
  <si>
    <t>George Foster</t>
  </si>
  <si>
    <t>Nicholas Anderson</t>
  </si>
  <si>
    <t>Emily Ellison</t>
  </si>
  <si>
    <t>B-25303</t>
  </si>
  <si>
    <t>Darren Perez</t>
  </si>
  <si>
    <t>Michelle Hunter</t>
  </si>
  <si>
    <t>B-26507</t>
  </si>
  <si>
    <t>Janet Guerrero</t>
  </si>
  <si>
    <t>B-25983</t>
  </si>
  <si>
    <t>Jeffrey Kline</t>
  </si>
  <si>
    <t>Ryan Bullock</t>
  </si>
  <si>
    <t>B-25156</t>
  </si>
  <si>
    <t>Tom Lawson</t>
  </si>
  <si>
    <t>B-26759</t>
  </si>
  <si>
    <t>Rebecca Smith</t>
  </si>
  <si>
    <t>B-26244</t>
  </si>
  <si>
    <t>William Welch</t>
  </si>
  <si>
    <t>B-26365</t>
  </si>
  <si>
    <t>Mr. Curtis Bailey</t>
  </si>
  <si>
    <t>B-26212</t>
  </si>
  <si>
    <t>Janet Carlson</t>
  </si>
  <si>
    <t>B-25042</t>
  </si>
  <si>
    <t>Spencer Spears</t>
  </si>
  <si>
    <t>B-25901</t>
  </si>
  <si>
    <t>Jeffrey Middleton</t>
  </si>
  <si>
    <t>Veronica Kelley</t>
  </si>
  <si>
    <t>Leslie Bean</t>
  </si>
  <si>
    <t>B-26747</t>
  </si>
  <si>
    <t>Amy Wilson</t>
  </si>
  <si>
    <t>B-26698</t>
  </si>
  <si>
    <t>Susan Ramirez</t>
  </si>
  <si>
    <t>B-25841</t>
  </si>
  <si>
    <t>Jacob Meyer</t>
  </si>
  <si>
    <t>B-26032</t>
  </si>
  <si>
    <t>Scott Lewis</t>
  </si>
  <si>
    <t>Eric Griffith</t>
  </si>
  <si>
    <t>Anna Ferguson</t>
  </si>
  <si>
    <t>B-25171</t>
  </si>
  <si>
    <t>David Figueroa</t>
  </si>
  <si>
    <t>B-26939</t>
  </si>
  <si>
    <t>Theresa Medina</t>
  </si>
  <si>
    <t>B-26347</t>
  </si>
  <si>
    <t>Mary Smith</t>
  </si>
  <si>
    <t>Lance Cain</t>
  </si>
  <si>
    <t>B-25388</t>
  </si>
  <si>
    <t>Alexandra Moran</t>
  </si>
  <si>
    <t>Sara Castro</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</si>
  <si>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</si>
  <si>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</si>
  <si>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</si>
  <si>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</si>
  <si>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</si>
  <si>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</si>
  <si>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</si>
  <si>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</si>
  <si>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</si>
  <si>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</si>
  <si>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</si>
  <si>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</si>
  <si>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</si>
  <si>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</si>
  <si>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</si>
  <si>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B-25885</t>
  </si>
  <si>
    <t>Dawn Howard</t>
  </si>
  <si>
    <t>B-25004</t>
  </si>
  <si>
    <t>Jennifer Marshall</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</si>
  <si>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</si>
  <si>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</si>
  <si>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</si>
  <si>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</si>
  <si>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</si>
  <si>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</si>
  <si>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</si>
  <si>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</si>
  <si>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</si>
  <si>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</si>
  <si>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</si>
  <si>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</si>
  <si>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</si>
  <si>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</si>
  <si>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</si>
  <si>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</si>
  <si>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</si>
  <si>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</si>
  <si>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</si>
  <si>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B-25223</t>
  </si>
  <si>
    <t>Heidi Davis</t>
  </si>
  <si>
    <t>B-25714</t>
  </si>
  <si>
    <t>Charles Lane</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</si>
  <si>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</si>
  <si>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</si>
  <si>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</si>
  <si>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</si>
  <si>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</si>
  <si>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</si>
  <si>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</si>
  <si>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</si>
  <si>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</si>
  <si>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</si>
  <si>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</si>
  <si>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</si>
  <si>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</si>
  <si>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</si>
  <si>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</si>
  <si>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</si>
  <si>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</si>
  <si>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</si>
  <si>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</si>
  <si>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</si>
  <si>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</si>
  <si>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</si>
  <si>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</si>
  <si>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</si>
  <si>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</si>
  <si>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</si>
  <si>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</si>
  <si>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</si>
  <si>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</si>
  <si>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</si>
  <si>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</si>
  <si>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</si>
  <si>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</si>
  <si>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</si>
  <si>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</si>
  <si>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</si>
  <si>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</si>
  <si>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</si>
  <si>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</si>
  <si>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</si>
  <si>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</si>
  <si>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</si>
  <si>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</si>
  <si>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</si>
  <si>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</si>
  <si>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</si>
  <si>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</si>
  <si>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</si>
  <si>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</si>
  <si>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</si>
  <si>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</si>
  <si>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</si>
  <si>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</si>
  <si>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</si>
  <si>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</si>
  <si>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</si>
  <si>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</si>
  <si>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</si>
  <si>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</si>
  <si>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</si>
  <si>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</si>
  <si>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</si>
  <si>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</si>
  <si>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</si>
  <si>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</si>
  <si>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</si>
  <si>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</si>
  <si>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</si>
  <si>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</si>
  <si>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</si>
  <si>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</si>
  <si>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</si>
  <si>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</si>
  <si>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</si>
  <si>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</si>
  <si>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</si>
  <si>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</si>
  <si>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</si>
  <si>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</si>
  <si>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</si>
  <si>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</si>
  <si>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</si>
  <si>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</si>
  <si>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</si>
  <si>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</si>
  <si>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</si>
  <si>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</si>
  <si>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</si>
  <si>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</si>
  <si>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</si>
  <si>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</si>
  <si>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</si>
  <si>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</si>
  <si>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</si>
  <si>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</si>
  <si>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</si>
  <si>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</si>
  <si>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</si>
  <si>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</si>
  <si>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</si>
  <si>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</si>
  <si>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</si>
  <si>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</si>
  <si>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</si>
  <si>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</si>
  <si>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</si>
  <si>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</si>
  <si>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</si>
  <si>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</si>
  <si>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</si>
  <si>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</si>
  <si>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</si>
  <si>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</si>
  <si>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</si>
  <si>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</si>
  <si>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</si>
  <si>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</si>
  <si>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</si>
  <si>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</si>
  <si>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</si>
  <si>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</si>
  <si>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</si>
  <si>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</si>
  <si>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</si>
  <si>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</si>
  <si>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</si>
  <si>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</si>
  <si>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</si>
  <si>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</si>
  <si>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</si>
  <si>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</si>
  <si>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</si>
  <si>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</si>
  <si>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</si>
  <si>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</si>
  <si>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</si>
  <si>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</si>
  <si>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</si>
  <si>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</si>
  <si>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</si>
  <si>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</si>
  <si>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</si>
  <si>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</si>
  <si>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</si>
  <si>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</si>
  <si>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</si>
  <si>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</si>
  <si>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</si>
  <si>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</si>
  <si>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</si>
  <si>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</si>
  <si>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</si>
  <si>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</si>
  <si>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</si>
  <si>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</si>
  <si>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</si>
  <si>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</si>
  <si>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</si>
  <si>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</si>
  <si>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</si>
  <si>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</si>
  <si>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</si>
  <si>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</si>
  <si>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</si>
  <si>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</si>
  <si>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</si>
  <si>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</si>
  <si>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</si>
  <si>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</si>
  <si>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</si>
  <si>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</si>
  <si>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</si>
  <si>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</si>
  <si>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</si>
  <si>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</si>
  <si>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</si>
  <si>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</si>
  <si>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</si>
  <si>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</si>
  <si>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</si>
  <si>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</si>
  <si>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</si>
  <si>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</si>
  <si>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</si>
  <si>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</si>
  <si>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</si>
  <si>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</si>
  <si>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</si>
  <si>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</si>
  <si>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</si>
  <si>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</si>
  <si>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</si>
  <si>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</si>
  <si>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</si>
  <si>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</si>
  <si>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</si>
  <si>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</si>
  <si>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</si>
  <si>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</si>
  <si>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</si>
  <si>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</si>
  <si>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</si>
  <si>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</si>
  <si>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</si>
  <si>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</si>
  <si>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</si>
  <si>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</si>
  <si>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</si>
  <si>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</si>
  <si>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</si>
  <si>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</si>
  <si>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</si>
  <si>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</si>
  <si>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</si>
  <si>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</si>
  <si>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</si>
  <si>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</si>
  <si>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</si>
  <si>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</si>
  <si>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</si>
  <si>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</si>
  <si>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</si>
  <si>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</si>
  <si>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</si>
  <si>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</si>
  <si>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</si>
  <si>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</si>
  <si>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</si>
  <si>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</si>
  <si>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</si>
  <si>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</si>
  <si>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</si>
  <si>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</si>
  <si>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</si>
  <si>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</si>
  <si>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</si>
  <si>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</si>
  <si>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</si>
  <si>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</si>
  <si>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</si>
  <si>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</si>
  <si>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</si>
  <si>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</si>
  <si>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</si>
  <si>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</si>
  <si>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</si>
  <si>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</si>
  <si>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</si>
  <si>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</si>
  <si>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</si>
  <si>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</si>
  <si>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</si>
  <si>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</si>
  <si>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</si>
  <si>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</si>
  <si>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</si>
  <si>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</si>
  <si>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</si>
  <si>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</si>
  <si>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</si>
  <si>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</si>
  <si>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</si>
  <si>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</si>
  <si>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</si>
  <si>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</si>
  <si>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</si>
  <si>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</si>
  <si>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</si>
  <si>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</si>
  <si>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</si>
  <si>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</si>
  <si>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</si>
  <si>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</si>
  <si>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</si>
  <si>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</si>
  <si>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</si>
  <si>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</si>
  <si>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</si>
  <si>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</si>
  <si>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</si>
  <si>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</si>
  <si>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</si>
  <si>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</si>
  <si>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</si>
  <si>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</si>
  <si>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</si>
  <si>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</si>
  <si>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</si>
  <si>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</si>
  <si>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</si>
  <si>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</si>
  <si>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</si>
  <si>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</si>
  <si>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</si>
  <si>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</si>
  <si>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</si>
  <si>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</si>
  <si>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</si>
  <si>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</si>
  <si>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</si>
  <si>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</si>
  <si>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</si>
  <si>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</si>
  <si>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</si>
  <si>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</si>
  <si>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</si>
  <si>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</si>
  <si>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</si>
  <si>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</si>
  <si>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</si>
  <si>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</si>
  <si>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</si>
  <si>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</si>
  <si>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</si>
  <si>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</si>
  <si>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</si>
  <si>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</si>
  <si>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</si>
  <si>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</si>
  <si>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</si>
  <si>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</si>
  <si>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</si>
  <si>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</si>
  <si>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</si>
  <si>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</si>
  <si>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</si>
  <si>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</si>
  <si>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</si>
  <si>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</si>
  <si>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</si>
  <si>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</si>
  <si>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</si>
  <si>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</si>
  <si>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</si>
  <si>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</si>
  <si>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</si>
  <si>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</si>
  <si>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</si>
  <si>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</si>
  <si>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</si>
  <si>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</si>
  <si>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</si>
  <si>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</si>
  <si>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</si>
  <si>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</si>
  <si>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</si>
  <si>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</si>
  <si>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</si>
  <si>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</si>
  <si>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</si>
  <si>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</si>
  <si>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</si>
  <si>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</si>
  <si>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</si>
  <si>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</si>
  <si>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</si>
  <si>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</si>
  <si>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</si>
  <si>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</si>
  <si>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</si>
  <si>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</si>
  <si>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</si>
  <si>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</si>
  <si>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</si>
  <si>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</si>
  <si>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</si>
  <si>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</si>
  <si>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</si>
  <si>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</si>
  <si>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</si>
  <si>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</si>
  <si>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</si>
  <si>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</si>
  <si>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</si>
  <si>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</si>
  <si>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</si>
  <si>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</si>
  <si>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</si>
  <si>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</si>
  <si>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</si>
  <si>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</si>
  <si>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</si>
  <si>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</si>
  <si>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</si>
  <si>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</si>
  <si>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</si>
  <si>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</si>
  <si>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</si>
  <si>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</si>
  <si>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</si>
  <si>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</si>
  <si>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</si>
  <si>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</si>
  <si>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</si>
  <si>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</si>
  <si>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</si>
  <si>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</si>
  <si>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</si>
  <si>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</si>
  <si>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</si>
  <si>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</si>
  <si>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</si>
  <si>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</si>
  <si>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</si>
  <si>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</si>
  <si>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</si>
  <si>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</si>
  <si>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</si>
  <si>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</si>
  <si>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</si>
  <si>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</si>
  <si>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</si>
  <si>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</si>
  <si>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</si>
  <si>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</si>
  <si>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</si>
  <si>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</si>
  <si>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</si>
  <si>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</si>
  <si>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</si>
  <si>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</si>
  <si>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</si>
  <si>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</si>
  <si>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</si>
  <si>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</si>
  <si>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</si>
  <si>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</si>
  <si>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</si>
  <si>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</si>
  <si>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</si>
  <si>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</si>
  <si>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</si>
  <si>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</si>
  <si>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</si>
  <si>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</si>
  <si>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</si>
  <si>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</si>
  <si>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</si>
  <si>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</si>
  <si>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</si>
  <si>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</si>
  <si>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</si>
  <si>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</si>
  <si>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</si>
  <si>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</si>
  <si>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</si>
  <si>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</si>
  <si>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</si>
  <si>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</si>
  <si>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</si>
  <si>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</si>
  <si>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</si>
  <si>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</si>
  <si>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</si>
  <si>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</si>
  <si>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</si>
  <si>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</si>
  <si>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</si>
  <si>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</si>
  <si>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</si>
  <si>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</si>
  <si>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</si>
  <si>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</si>
  <si>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</si>
  <si>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</si>
  <si>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</si>
  <si>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</si>
  <si>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</si>
  <si>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</si>
  <si>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</si>
  <si>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</si>
  <si>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</si>
  <si>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</si>
  <si>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</si>
  <si>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</si>
  <si>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</si>
  <si>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</si>
  <si>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</si>
  <si>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</si>
  <si>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</si>
  <si>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</si>
  <si>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</si>
  <si>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</si>
  <si>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</si>
  <si>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</si>
  <si>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</si>
  <si>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</si>
  <si>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</si>
  <si>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</si>
  <si>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</si>
  <si>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</si>
  <si>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</si>
  <si>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</si>
  <si>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</si>
  <si>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</si>
  <si>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</si>
  <si>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</si>
  <si>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</si>
  <si>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</si>
  <si>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</si>
  <si>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</si>
  <si>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</si>
  <si>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</si>
  <si>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</si>
  <si>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</si>
  <si>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</si>
  <si>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</si>
  <si>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</si>
  <si>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</si>
  <si>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</si>
  <si>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</si>
  <si>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</si>
  <si>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</si>
  <si>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</si>
  <si>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</si>
  <si>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</si>
  <si>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</si>
  <si>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</si>
  <si>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</si>
  <si>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</si>
  <si>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</si>
  <si>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</si>
  <si>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</si>
  <si>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</si>
  <si>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</si>
  <si>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</si>
  <si>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</si>
  <si>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</si>
  <si>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</si>
  <si>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</si>
  <si>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</si>
  <si>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</si>
  <si>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</si>
  <si>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</si>
  <si>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</si>
  <si>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</si>
  <si>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</si>
  <si>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</si>
  <si>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</si>
  <si>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</si>
  <si>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</si>
  <si>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</si>
  <si>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</si>
  <si>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</si>
  <si>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</si>
  <si>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</si>
  <si>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</si>
  <si>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</si>
  <si>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</si>
  <si>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</si>
  <si>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</si>
  <si>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</si>
  <si>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</si>
  <si>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</si>
  <si>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</si>
  <si>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</si>
  <si>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</si>
  <si>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</si>
  <si>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</si>
  <si>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</si>
  <si>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</si>
  <si>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</si>
  <si>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</si>
  <si>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</si>
  <si>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</si>
  <si>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</si>
  <si>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</si>
  <si>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</si>
  <si>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</si>
  <si>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</si>
  <si>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</si>
  <si>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</si>
  <si>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</si>
  <si>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</si>
  <si>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</si>
  <si>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</si>
  <si>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</si>
  <si>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</si>
  <si>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</si>
  <si>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</si>
  <si>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</si>
  <si>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</si>
  <si>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</si>
  <si>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</si>
  <si>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</si>
  <si>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</si>
  <si>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</si>
  <si>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</si>
  <si>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</si>
  <si>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</si>
  <si>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</si>
  <si>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</si>
  <si>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</si>
  <si>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</si>
  <si>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</si>
  <si>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</si>
  <si>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</si>
  <si>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</si>
  <si>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</si>
  <si>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</si>
  <si>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</si>
  <si>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</si>
  <si>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</si>
  <si>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</si>
  <si>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</si>
  <si>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</si>
  <si>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</si>
  <si>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</si>
  <si>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</si>
  <si>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</si>
  <si>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</si>
  <si>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</si>
  <si>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</si>
  <si>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</si>
  <si>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</si>
  <si>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</si>
  <si>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</si>
  <si>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</si>
  <si>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</si>
  <si>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</si>
  <si>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</si>
  <si>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</si>
  <si>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</si>
  <si>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</si>
  <si>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</si>
  <si>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</si>
  <si>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</si>
  <si>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</si>
  <si>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</si>
  <si>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</si>
  <si>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</si>
  <si>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</si>
  <si>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</si>
  <si>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</si>
  <si>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</si>
  <si>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</si>
  <si>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</si>
  <si>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</si>
  <si>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</si>
  <si>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</si>
  <si>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</si>
  <si>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</si>
  <si>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</si>
  <si>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</si>
  <si>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</si>
  <si>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</si>
  <si>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</si>
  <si>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</si>
  <si>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</si>
  <si>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</si>
  <si>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</si>
  <si>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</si>
  <si>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</si>
  <si>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</si>
  <si>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</si>
  <si>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</si>
  <si>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</si>
  <si>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</si>
  <si>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</si>
  <si>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</si>
  <si>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</si>
  <si>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</si>
  <si>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</si>
  <si>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</si>
  <si>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</si>
  <si>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</si>
  <si>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</si>
  <si>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</si>
  <si>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</si>
  <si>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</si>
  <si>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</si>
  <si>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</si>
  <si>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</si>
  <si>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</si>
  <si>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</si>
  <si>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</si>
  <si>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</si>
  <si>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</si>
  <si>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</si>
  <si>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</si>
  <si>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</si>
  <si>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</si>
  <si>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</si>
  <si>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</si>
  <si>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</si>
  <si>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</si>
  <si>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</si>
  <si>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</si>
  <si>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</si>
  <si>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</si>
  <si>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</si>
  <si>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</si>
  <si>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</si>
  <si>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</si>
  <si>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</si>
  <si>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</si>
  <si>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</si>
  <si>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</si>
  <si>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</si>
  <si>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</si>
  <si>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</si>
  <si>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</si>
  <si>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</si>
  <si>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</si>
  <si>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</si>
  <si>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</si>
  <si>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</si>
  <si>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</si>
  <si>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</si>
  <si>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</si>
  <si>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</si>
  <si>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</si>
  <si>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</si>
  <si>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</si>
  <si>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</si>
  <si>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</si>
  <si>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</si>
  <si>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</si>
  <si>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</si>
  <si>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</si>
  <si>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</si>
  <si>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</si>
  <si>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</si>
  <si>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</si>
  <si>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</si>
  <si>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</si>
  <si>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</si>
  <si>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</si>
  <si>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</si>
  <si>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</si>
  <si>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</si>
  <si>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</si>
  <si>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</si>
  <si>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</si>
  <si>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</si>
  <si>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</si>
  <si>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</si>
  <si>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</si>
  <si>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</si>
  <si>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</si>
  <si>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</si>
  <si>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</si>
  <si>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</si>
  <si>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</si>
  <si>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</si>
  <si>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</si>
  <si>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</si>
  <si>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</si>
  <si>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</si>
  <si>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</si>
  <si>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</si>
  <si>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</si>
  <si>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</si>
  <si>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</si>
  <si>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</si>
  <si>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</si>
  <si>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</si>
  <si>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</si>
  <si>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</si>
  <si>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</si>
  <si>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</si>
  <si>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</si>
  <si>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</si>
  <si>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</si>
  <si>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</si>
  <si>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</si>
  <si>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</si>
  <si>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</si>
  <si>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</si>
  <si>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</si>
  <si>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</si>
  <si>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</si>
  <si>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</si>
  <si>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</si>
  <si>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</si>
  <si>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</si>
  <si>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</si>
  <si>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</si>
  <si>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</si>
  <si>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</si>
  <si>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</si>
  <si>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</si>
  <si>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</si>
  <si>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</si>
  <si>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</si>
  <si>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</si>
  <si>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</si>
  <si>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</si>
  <si>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</si>
  <si>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</si>
  <si>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</si>
  <si>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</si>
  <si>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</si>
  <si>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</si>
  <si>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</si>
  <si>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</si>
  <si>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</si>
  <si>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</si>
  <si>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</si>
  <si>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</si>
  <si>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</si>
  <si>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</si>
  <si>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</si>
  <si>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</si>
  <si>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</si>
  <si>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</si>
  <si>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</si>
  <si>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</si>
  <si>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</si>
  <si>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</si>
  <si>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</si>
  <si>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</si>
  <si>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</si>
  <si>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</si>
  <si>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</si>
  <si>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</si>
  <si>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</si>
  <si>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</si>
  <si>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</si>
  <si>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</si>
  <si>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</si>
  <si>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</si>
  <si>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</si>
  <si>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</si>
  <si>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</si>
  <si>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</si>
  <si>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</si>
  <si>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</si>
  <si>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</si>
  <si>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</si>
  <si>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</si>
  <si>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</si>
  <si>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</si>
  <si>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</si>
  <si>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</si>
  <si>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</si>
  <si>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</si>
  <si>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</si>
  <si>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</si>
  <si>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</si>
  <si>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</si>
  <si>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</si>
  <si>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</si>
  <si>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</si>
  <si>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</si>
  <si>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</si>
  <si>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</si>
  <si>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</si>
  <si>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</si>
  <si>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</si>
  <si>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</si>
  <si>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</si>
  <si>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</si>
  <si>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</si>
  <si>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</si>
  <si>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</si>
  <si>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</si>
  <si>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</si>
  <si>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</si>
  <si>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</si>
  <si>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</si>
  <si>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</si>
  <si>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</si>
  <si>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</si>
  <si>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</si>
  <si>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</si>
  <si>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</si>
  <si>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</si>
  <si>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</si>
  <si>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</si>
  <si>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</si>
  <si>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</si>
  <si>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</si>
  <si>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</si>
  <si>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</si>
  <si>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</si>
  <si>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</si>
  <si>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</si>
  <si>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</si>
  <si>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</si>
  <si>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</si>
  <si>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</si>
  <si>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</si>
  <si>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</si>
  <si>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</si>
  <si>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</si>
  <si>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</si>
  <si>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</si>
  <si>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</si>
  <si>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</si>
  <si>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</si>
  <si>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</si>
  <si>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</si>
  <si>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</si>
  <si>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</si>
  <si>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</si>
  <si>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</si>
  <si>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</si>
  <si>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</si>
  <si>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</si>
  <si>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</si>
  <si>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</si>
  <si>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</si>
  <si>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</si>
  <si>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</si>
  <si>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</si>
  <si>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</si>
  <si>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</si>
  <si>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</si>
  <si>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</si>
  <si>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</si>
  <si>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</si>
  <si>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</si>
  <si>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</si>
  <si>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</si>
  <si>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</si>
  <si>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</si>
  <si>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</si>
  <si>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</si>
  <si>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</si>
  <si>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</si>
  <si>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</si>
  <si>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</si>
  <si>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</si>
  <si>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</si>
  <si>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</si>
  <si>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</si>
  <si>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</si>
  <si>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</si>
  <si>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</si>
  <si>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</si>
  <si>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</si>
  <si>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</si>
  <si>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</si>
  <si>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</si>
  <si>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</si>
  <si>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</si>
  <si>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</si>
  <si>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</si>
  <si>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</si>
  <si>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</si>
  <si>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</si>
  <si>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</si>
  <si>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</si>
  <si>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</si>
  <si>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</si>
  <si>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</si>
  <si>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</si>
  <si>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</si>
  <si>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</si>
  <si>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</si>
  <si>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</si>
  <si>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</si>
  <si>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</si>
  <si>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</si>
  <si>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</si>
  <si>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</si>
  <si>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</si>
  <si>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</si>
  <si>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</si>
  <si>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</si>
  <si>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</si>
  <si>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</si>
  <si>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</si>
  <si>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</si>
  <si>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</si>
  <si>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</si>
  <si>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</si>
  <si>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</si>
  <si>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</si>
  <si>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</si>
  <si>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</si>
  <si>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</si>
  <si>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</si>
  <si>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</si>
  <si>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</si>
  <si>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</si>
  <si>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</si>
  <si>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</si>
  <si>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</si>
  <si>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</si>
  <si>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</si>
  <si>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</si>
  <si>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</si>
  <si>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</si>
  <si>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</si>
  <si>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</si>
  <si>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</si>
  <si>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</si>
  <si>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</si>
  <si>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</si>
  <si>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</si>
  <si>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</si>
  <si>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</si>
  <si>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</si>
  <si>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</si>
  <si>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</si>
  <si>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</si>
  <si>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</si>
  <si>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</si>
  <si>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</si>
  <si>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</si>
  <si>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</si>
  <si>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</si>
  <si>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</si>
  <si>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</si>
  <si>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</si>
  <si>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</si>
  <si>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</si>
  <si>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</si>
  <si>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</si>
  <si>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</si>
  <si>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</si>
  <si>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</si>
  <si>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</si>
  <si>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</si>
  <si>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</si>
  <si>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</si>
  <si>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</si>
  <si>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</si>
  <si>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</si>
  <si>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</si>
  <si>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</si>
  <si>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</si>
  <si>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</si>
  <si>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</si>
  <si>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</si>
  <si>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</si>
  <si>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</si>
  <si>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</si>
  <si>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</si>
  <si>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</si>
  <si>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</si>
  <si>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</si>
  <si>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</si>
  <si>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</si>
  <si>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</si>
  <si>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</si>
  <si>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</si>
  <si>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</si>
  <si>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</si>
  <si>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</si>
  <si>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</si>
  <si>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</si>
  <si>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</si>
  <si>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</si>
  <si>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</si>
  <si>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</si>
  <si>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</si>
  <si>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</si>
  <si>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</si>
  <si>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</si>
  <si>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</si>
  <si>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</si>
  <si>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</si>
  <si>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</si>
  <si>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</si>
  <si>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</si>
  <si>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</si>
  <si>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</si>
  <si>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</si>
  <si>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</si>
  <si>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</si>
  <si>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</si>
  <si>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</si>
  <si>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</si>
  <si>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</si>
  <si>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</si>
  <si>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</si>
  <si>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</si>
  <si>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</si>
  <si>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</si>
  <si>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</si>
  <si>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</si>
  <si>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</si>
  <si>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</si>
  <si>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</si>
  <si>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</si>
  <si>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</si>
  <si>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</si>
  <si>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</si>
  <si>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</si>
  <si>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</si>
  <si>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</si>
  <si>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</si>
  <si>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</si>
  <si>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</si>
  <si>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</si>
  <si>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</si>
  <si>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</si>
  <si>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</si>
  <si>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</si>
  <si>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</si>
  <si>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</si>
  <si>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</si>
  <si>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</si>
  <si>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</si>
  <si>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</si>
  <si>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</si>
  <si>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</si>
  <si>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</si>
  <si>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</si>
  <si>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</si>
  <si>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</si>
  <si>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</si>
  <si>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</si>
  <si>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</si>
  <si>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</si>
  <si>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</si>
  <si>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</si>
  <si>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</si>
  <si>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</si>
  <si>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</si>
  <si>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</si>
  <si>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</si>
  <si>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</si>
  <si>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</si>
  <si>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</si>
  <si>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</si>
  <si>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</si>
  <si>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</si>
  <si>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</si>
  <si>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Revenue</t>
  </si>
  <si>
    <t>Products</t>
  </si>
  <si>
    <t>Blanks</t>
  </si>
  <si>
    <t>Sum of Revenue</t>
  </si>
  <si>
    <t>Sum of Profit</t>
  </si>
  <si>
    <t>Count of Order ID</t>
  </si>
  <si>
    <t>Profit Margin %</t>
  </si>
  <si>
    <t>Average of Profit Margin %</t>
  </si>
  <si>
    <t>Grand Total</t>
  </si>
  <si>
    <t>Row Labels</t>
  </si>
  <si>
    <t>Total Revenue</t>
  </si>
  <si>
    <t>Total Profit</t>
  </si>
  <si>
    <t>Total Orders</t>
  </si>
  <si>
    <t>Avg. Profit Margin</t>
  </si>
  <si>
    <t>2020</t>
  </si>
  <si>
    <t>2021</t>
  </si>
  <si>
    <t>2022</t>
  </si>
  <si>
    <t>2023</t>
  </si>
  <si>
    <t>2024</t>
  </si>
  <si>
    <t>2025</t>
  </si>
  <si>
    <t>Jan</t>
  </si>
  <si>
    <t>Feb</t>
  </si>
  <si>
    <t>Mar</t>
  </si>
  <si>
    <t>Apr</t>
  </si>
  <si>
    <t>May</t>
  </si>
  <si>
    <t>Jun</t>
  </si>
  <si>
    <t>Jul</t>
  </si>
  <si>
    <t>Aug</t>
  </si>
  <si>
    <t>Sep</t>
  </si>
  <si>
    <t>Oct</t>
  </si>
  <si>
    <t>Nov</t>
  </si>
  <si>
    <t>Dec</t>
  </si>
  <si>
    <t>Average Order Value</t>
  </si>
  <si>
    <t>Sum of Revenue +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</si>
</sst>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0.0"/>
  </numFmts>
  <fonts count="20"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11"/>
      <color theme="1"/>
      <name val="Aharoni"/>
      <charset val="177"/>
    </font>
    <font>
      <sz val="14"/>
      <color theme="4"/>
      <name val="Aptos SemiBold"/>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16" fillId="0" borderId="0" xfId="0" applyFont="1" applyAlignment="1">
      <alignment horizontal="center" vertical="center"/>
    </xf>
    <xf numFmtId="164" fontId="0" fillId="0" borderId="0" xfId="0" applyNumberFormat="1"/>
    <xf numFmtId="0" fontId="18" fillId="0" borderId="0" xfId="0" applyFont="1"/>
    <xf numFmtId="0" fontId="0" fillId="0" borderId="0" xfId="0" applyAlignment="1">
      <alignment vertical="center"/>
    </xf>
    <xf numFmtId="44" fontId="0" fillId="0" borderId="0" xfId="0" applyNumberFormat="1" applyAlignment="1">
      <alignment vertical="center"/>
    </xf>
    <xf numFmtId="44" fontId="0" fillId="0" borderId="0" xfId="42" applyFont="1" applyAlignment="1">
      <alignment vertical="center"/>
    </xf>
    <xf numFmtId="1" fontId="0" fillId="0" borderId="0" xfId="0" applyNumberFormat="1" applyAlignment="1">
      <alignment vertical="center"/>
    </xf>
    <xf numFmtId="2" fontId="0" fillId="0" borderId="0" xfId="0" applyNumberFormat="1" applyAlignment="1">
      <alignment vertical="center"/>
    </xf>
    <xf numFmtId="1" fontId="0" fillId="0" borderId="0" xfId="43" applyNumberFormat="1" applyFont="1" applyAlignment="1">
      <alignment vertical="center"/>
    </xf>
    <xf numFmtId="0" fontId="0" fillId="0" borderId="0" xfId="0" pivotButton="1" applyAlignment="1">
      <alignment vertical="center"/>
    </xf>
    <xf numFmtId="0" fontId="0" fillId="0" borderId="0" xfId="0" applyAlignment="1">
      <alignment horizontal="left" vertical="center"/>
    </xf>
    <xf numFmtId="44" fontId="0" fillId="0" borderId="0" xfId="42" applyFont="1"/>
    <xf numFmtId="0" fontId="19" fillId="0" borderId="0" xfId="0" applyFont="1" applyAlignment="1">
      <alignment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99">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alignment vertical="center"/>
    </dxf>
    <dxf>
      <alignment vertical="center"/>
    </dxf>
    <dxf>
      <alignment vertical="center"/>
    </dxf>
    <dxf>
      <numFmt numFmtId="1" formatCode="0"/>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34" formatCode="_ &quot;₹&quot;\ * #,##0.00_ ;_ &quot;₹&quot;\ * \-#,##0.00_ ;_ &quot;₹&quot;\ * &quot;-&quot;??_ ;_ @_ "/>
    </dxf>
    <dxf>
      <alignment vertical="center"/>
    </dxf>
    <dxf>
      <alignment vertical="center"/>
    </dxf>
    <dxf>
      <alignment vertical="center"/>
    </dxf>
    <dxf>
      <numFmt numFmtId="2" formatCode="0.00"/>
    </dxf>
    <dxf>
      <numFmt numFmtId="164" formatCode="0.0"/>
    </dxf>
    <dxf>
      <numFmt numFmtId="19" formatCode="dd/mm/yyyy"/>
    </dxf>
    <dxf>
      <font>
        <b/>
        <i val="0"/>
        <strike val="0"/>
        <condense val="0"/>
        <extend val="0"/>
        <outline val="0"/>
        <shadow val="0"/>
        <u val="none"/>
        <vertAlign val="baseline"/>
        <sz val="11"/>
        <color theme="1"/>
        <name val="Gill Sans MT"/>
        <family val="2"/>
        <scheme val="minor"/>
      </font>
      <alignment horizontal="center" vertical="center" textRotation="0" wrapText="0" indent="0" justifyLastLine="0" shrinkToFit="0" readingOrder="0"/>
    </dxf>
    <dxf>
      <font>
        <b/>
        <color theme="1"/>
      </font>
      <border>
        <bottom style="thin">
          <color theme="4"/>
        </bottom>
        <vertical/>
        <horizontal/>
      </border>
    </dxf>
    <dxf>
      <font>
        <b/>
        <i val="0"/>
        <sz val="14"/>
        <color theme="1"/>
      </font>
      <fill>
        <patternFill>
          <bgColor theme="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4"/>
        <color theme="1"/>
      </font>
      <fill>
        <patternFill>
          <bgColor theme="2"/>
        </patternFill>
      </fill>
      <border>
        <left style="thin">
          <color theme="4"/>
        </left>
        <right style="thin">
          <color theme="4"/>
        </right>
        <top style="thin">
          <color theme="4"/>
        </top>
        <bottom style="thin">
          <color theme="4"/>
        </bottom>
        <vertical/>
        <horizontal/>
      </border>
    </dxf>
    <dxf>
      <font>
        <b/>
        <i val="0"/>
        <sz val="12"/>
        <color theme="1"/>
      </font>
      <fill>
        <patternFill>
          <bgColor theme="2"/>
        </patternFill>
      </fill>
      <border diagonalUp="0" diagonalDown="0">
        <left/>
        <right/>
        <top/>
        <bottom/>
        <vertical/>
        <horizontal/>
      </border>
    </dxf>
    <dxf>
      <font>
        <sz val="10"/>
        <color theme="1"/>
      </font>
      <border>
        <left style="thin">
          <color theme="4"/>
        </left>
        <right style="thin">
          <color theme="4"/>
        </right>
        <top style="thin">
          <color theme="4"/>
        </top>
        <bottom style="thin">
          <color theme="4"/>
        </bottom>
        <vertical/>
        <horizontal/>
      </border>
    </dxf>
    <dxf>
      <font>
        <b/>
        <i val="0"/>
        <sz val="20"/>
      </font>
    </dxf>
    <dxf>
      <font>
        <sz val="20"/>
      </font>
    </dxf>
  </dxfs>
  <tableStyles count="4" defaultTableStyle="TableStyleMedium2" defaultPivotStyle="PivotStyleLight16">
    <tableStyle name="Slicer Style 1" pivot="0" table="0" count="2" xr9:uid="{F42696B8-659A-4EEE-868B-09FCD91F820C}">
      <tableStyleElement type="wholeTable" dxfId="498"/>
      <tableStyleElement type="headerRow" dxfId="497"/>
    </tableStyle>
    <tableStyle name="SlicerStyleDark1 2" pivot="0" table="0" count="10" xr9:uid="{691AA488-4D2C-4171-B0DB-8364F3126233}">
      <tableStyleElement type="wholeTable" dxfId="496"/>
      <tableStyleElement type="headerRow" dxfId="495"/>
    </tableStyle>
    <tableStyle name="SlicerStyleDark1 3" pivot="0" table="0" count="10" xr9:uid="{C0B425D6-BE3C-4444-812B-0E25FA9A8383}">
      <tableStyleElement type="wholeTable" dxfId="494"/>
      <tableStyleElement type="headerRow" dxfId="493"/>
    </tableStyle>
    <tableStyle name="SlicerStyleDark1 3 2" pivot="0" table="0" count="10" xr9:uid="{B63A70BE-2A8C-4DF2-88CD-FF618F211E5E}">
      <tableStyleElement type="wholeTable" dxfId="492"/>
      <tableStyleElement type="headerRow" dxfId="491"/>
    </tableStyle>
  </tableStyles>
  <colors>
    <mruColors>
      <color rgb="FFFFDC09"/>
      <color rgb="FFFFF52D"/>
      <color rgb="FFCCAF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3">
        <x14:slicerStyle name="Slicer Style 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Dashboard.xlsx]Sheet4!PivotTable1</c:name>
    <c:fmtId val="14"/>
  </c:pivotSource>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mn-lt"/>
                <a:ea typeface="+mn-ea"/>
                <a:cs typeface="+mn-cs"/>
              </a:defRPr>
            </a:pPr>
            <a:r>
              <a:rPr lang="en-IN" sz="2000" b="1">
                <a:solidFill>
                  <a:schemeClr val="accent1">
                    <a:lumMod val="50000"/>
                  </a:schemeClr>
                </a:solidFill>
              </a:rPr>
              <a:t>Profit by Category</a:t>
            </a:r>
          </a:p>
        </c:rich>
      </c:tx>
      <c:layout>
        <c:manualLayout>
          <c:xMode val="edge"/>
          <c:yMode val="edge"/>
          <c:x val="0.25277669585321805"/>
          <c:y val="3.1986443280635759E-3"/>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w="3175">
              <a:solidFill>
                <a:schemeClr val="accent6">
                  <a:lumMod val="75000"/>
                </a:scheme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0.19799806223846111"/>
              <c:y val="-0.11969527765725138"/>
            </c:manualLayout>
          </c:layout>
          <c:spPr>
            <a:xfrm>
              <a:off x="3305847" y="531031"/>
              <a:ext cx="1422956" cy="698902"/>
            </a:xfrm>
            <a:noFill/>
            <a:ln w="3175" cap="flat" cmpd="sng" algn="ctr">
              <a:solidFill>
                <a:srgbClr val="40619D">
                  <a:lumMod val="75000"/>
                </a:srgbClr>
              </a:solidFill>
              <a:prstDash val="sys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101699"/>
                    <a:gd name="adj2" fmla="val 55287"/>
                    <a:gd name="adj3" fmla="val 135978"/>
                    <a:gd name="adj4" fmla="val -8203"/>
                  </a:avLst>
                </a:prstGeom>
                <a:noFill/>
                <a:ln>
                  <a:noFill/>
                </a:ln>
              </c15:spPr>
              <c15:layout>
                <c:manualLayout>
                  <c:w val="0.28038983865755518"/>
                  <c:h val="0.24041822753807146"/>
                </c:manualLayout>
              </c15:layout>
            </c:ext>
          </c:extLst>
        </c:dLbl>
      </c:pivotFmt>
      <c:pivotFmt>
        <c:idx val="7"/>
        <c:spPr>
          <a:solidFill>
            <a:schemeClr val="accent3"/>
          </a:solidFill>
          <a:ln w="19050">
            <a:solidFill>
              <a:schemeClr val="lt1"/>
            </a:solidFill>
          </a:ln>
          <a:effectLst/>
        </c:spPr>
        <c:dLbl>
          <c:idx val="0"/>
          <c:layout>
            <c:manualLayout>
              <c:x val="0.35714285714285715"/>
              <c:y val="3.2051282051282048E-2"/>
            </c:manualLayout>
          </c:layout>
          <c:spPr>
            <a:noFill/>
            <a:ln w="3175" cap="flat" cmpd="sng" algn="ctr">
              <a:solidFill>
                <a:schemeClr val="accent6">
                  <a:lumMod val="75000"/>
                </a:schemeClr>
              </a:solidFill>
              <a:prstDash val="sys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44173"/>
                    <a:gd name="adj2" fmla="val -885"/>
                    <a:gd name="adj3" fmla="val 21752"/>
                    <a:gd name="adj4" fmla="val -130610"/>
                  </a:avLst>
                </a:prstGeom>
                <a:noFill/>
                <a:ln>
                  <a:noFill/>
                </a:ln>
              </c15:spPr>
            </c:ext>
          </c:extLst>
        </c:dLbl>
      </c:pivotFmt>
      <c:pivotFmt>
        <c:idx val="8"/>
        <c:spPr>
          <a:solidFill>
            <a:schemeClr val="accent3"/>
          </a:solidFill>
          <a:ln w="19050">
            <a:solidFill>
              <a:schemeClr val="lt1"/>
            </a:solidFill>
          </a:ln>
          <a:effectLst/>
        </c:spPr>
        <c:dLbl>
          <c:idx val="0"/>
          <c:layout>
            <c:manualLayout>
              <c:x val="-0.22173564108997007"/>
              <c:y val="-0.19445017438786424"/>
            </c:manualLayout>
          </c:layout>
          <c:spPr>
            <a:xfrm>
              <a:off x="161860" y="476480"/>
              <a:ext cx="988543" cy="790024"/>
            </a:xfrm>
            <a:noFill/>
            <a:ln w="3175" cap="flat" cmpd="sng" algn="ctr">
              <a:solidFill>
                <a:schemeClr val="accent6">
                  <a:lumMod val="75000"/>
                </a:schemeClr>
              </a:solidFill>
              <a:prstDash val="sysDot"/>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99771"/>
                    <a:gd name="adj2" fmla="val 45313"/>
                    <a:gd name="adj3" fmla="val 120089"/>
                    <a:gd name="adj4" fmla="val 110847"/>
                  </a:avLst>
                </a:prstGeom>
                <a:noFill/>
                <a:ln>
                  <a:noFill/>
                </a:ln>
              </c15:spPr>
              <c15:layout>
                <c:manualLayout>
                  <c:w val="0.2820707158213101"/>
                  <c:h val="0.24088856010868709"/>
                </c:manualLayout>
              </c15:layout>
            </c:ext>
          </c:extLst>
        </c:dLbl>
      </c:pivotFmt>
      <c:pivotFmt>
        <c:idx val="9"/>
        <c:spPr>
          <a:solidFill>
            <a:schemeClr val="accent3"/>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3">
              <a:tint val="65000"/>
            </a:schemeClr>
          </a:solidFill>
          <a:ln w="19050">
            <a:solidFill>
              <a:schemeClr val="lt1"/>
            </a:solidFill>
          </a:ln>
          <a:effectLst/>
        </c:spPr>
        <c:dLbl>
          <c:idx val="0"/>
          <c:layout>
            <c:manualLayout>
              <c:x val="-0.2077199976159157"/>
              <c:y val="-8.78305449977130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98098969992417"/>
                  <c:h val="0.27443193931655768"/>
                </c:manualLayout>
              </c15:layout>
            </c:ext>
          </c:extLst>
        </c:dLbl>
      </c:pivotFmt>
      <c:pivotFmt>
        <c:idx val="11"/>
        <c:spPr>
          <a:solidFill>
            <a:schemeClr val="accent3">
              <a:shade val="65000"/>
            </a:schemeClr>
          </a:solidFill>
          <a:ln w="19050">
            <a:solidFill>
              <a:schemeClr val="lt1"/>
            </a:solidFill>
          </a:ln>
          <a:effectLst/>
        </c:spPr>
        <c:dLbl>
          <c:idx val="0"/>
          <c:layout>
            <c:manualLayout>
              <c:x val="0.18078927051178789"/>
              <c:y val="-0.12417421878987016"/>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67012451296066"/>
                  <c:h val="0.2072428840088312"/>
                </c:manualLayout>
              </c15:layout>
            </c:ext>
          </c:extLst>
        </c:dLbl>
      </c:pivotFmt>
      <c:pivotFmt>
        <c:idx val="12"/>
        <c:spPr>
          <a:solidFill>
            <a:schemeClr val="accent3"/>
          </a:solidFill>
          <a:ln w="19050">
            <a:solidFill>
              <a:schemeClr val="lt1"/>
            </a:solidFill>
          </a:ln>
          <a:effectLst/>
        </c:spPr>
        <c:dLbl>
          <c:idx val="0"/>
          <c:layout>
            <c:manualLayout>
              <c:x val="0.33622519062278655"/>
              <c:y val="-2.59394625047277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45130715738144"/>
                  <c:h val="0.23147199987026931"/>
                </c:manualLayout>
              </c15:layout>
            </c:ext>
          </c:extLst>
        </c:dLbl>
      </c:pivotFmt>
    </c:pivotFmts>
    <c:plotArea>
      <c:layout>
        <c:manualLayout>
          <c:layoutTarget val="inner"/>
          <c:xMode val="edge"/>
          <c:yMode val="edge"/>
          <c:x val="0.27065594198358583"/>
          <c:y val="0.16633373918181699"/>
          <c:w val="0.47981193455965826"/>
          <c:h val="0.81427068651121481"/>
        </c:manualLayout>
      </c:layout>
      <c:doughnutChart>
        <c:varyColors val="1"/>
        <c:ser>
          <c:idx val="0"/>
          <c:order val="0"/>
          <c:tx>
            <c:strRef>
              <c:f>Sheet4!$P$3</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2ECD-4D98-B5F0-F15673A1D31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ECD-4D98-B5F0-F15673A1D31D}"/>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2ECD-4D98-B5F0-F15673A1D31D}"/>
              </c:ext>
            </c:extLst>
          </c:dPt>
          <c:dLbls>
            <c:dLbl>
              <c:idx val="0"/>
              <c:layout>
                <c:manualLayout>
                  <c:x val="0.18078927051178789"/>
                  <c:y val="-0.12417421878987016"/>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867012451296066"/>
                      <c:h val="0.2072428840088312"/>
                    </c:manualLayout>
                  </c15:layout>
                </c:ext>
                <c:ext xmlns:c16="http://schemas.microsoft.com/office/drawing/2014/chart" uri="{C3380CC4-5D6E-409C-BE32-E72D297353CC}">
                  <c16:uniqueId val="{00000001-2ECD-4D98-B5F0-F15673A1D31D}"/>
                </c:ext>
              </c:extLst>
            </c:dLbl>
            <c:dLbl>
              <c:idx val="1"/>
              <c:layout>
                <c:manualLayout>
                  <c:x val="0.33622519062278655"/>
                  <c:y val="-2.59394625047277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45130715738144"/>
                      <c:h val="0.23147199987026931"/>
                    </c:manualLayout>
                  </c15:layout>
                </c:ext>
                <c:ext xmlns:c16="http://schemas.microsoft.com/office/drawing/2014/chart" uri="{C3380CC4-5D6E-409C-BE32-E72D297353CC}">
                  <c16:uniqueId val="{00000003-2ECD-4D98-B5F0-F15673A1D31D}"/>
                </c:ext>
              </c:extLst>
            </c:dLbl>
            <c:dLbl>
              <c:idx val="2"/>
              <c:layout>
                <c:manualLayout>
                  <c:x val="-0.2077199976159157"/>
                  <c:y val="-8.78305449977130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498098969992417"/>
                      <c:h val="0.27443193931655768"/>
                    </c:manualLayout>
                  </c15:layout>
                </c:ext>
                <c:ext xmlns:c16="http://schemas.microsoft.com/office/drawing/2014/chart" uri="{C3380CC4-5D6E-409C-BE32-E72D297353CC}">
                  <c16:uniqueId val="{00000005-2ECD-4D98-B5F0-F15673A1D31D}"/>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accent2">
                        <a:lumMod val="50000"/>
                      </a:schemeClr>
                    </a:solidFill>
                    <a:latin typeface="Aptos SemiBold" panose="020F050202020403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Sheet4!$O$4:$O$7</c:f>
              <c:strCache>
                <c:ptCount val="3"/>
                <c:pt idx="0">
                  <c:v>Electronics</c:v>
                </c:pt>
                <c:pt idx="1">
                  <c:v>Furniture</c:v>
                </c:pt>
                <c:pt idx="2">
                  <c:v>Office Supplies</c:v>
                </c:pt>
              </c:strCache>
            </c:strRef>
          </c:cat>
          <c:val>
            <c:numRef>
              <c:f>Sheet4!$P$4:$P$7</c:f>
              <c:numCache>
                <c:formatCode>_("₹"* #,##0.00_);_("₹"* \(#,##0.00\);_("₹"* "-"??_);_(@_)</c:formatCode>
                <c:ptCount val="3"/>
                <c:pt idx="0">
                  <c:v>518580</c:v>
                </c:pt>
                <c:pt idx="1">
                  <c:v>540542</c:v>
                </c:pt>
                <c:pt idx="2">
                  <c:v>551575</c:v>
                </c:pt>
              </c:numCache>
            </c:numRef>
          </c:val>
          <c:extLst>
            <c:ext xmlns:c16="http://schemas.microsoft.com/office/drawing/2014/chart" uri="{C3380CC4-5D6E-409C-BE32-E72D297353CC}">
              <c16:uniqueId val="{00000006-2ECD-4D98-B5F0-F15673A1D31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2000" b="1" i="0" u="none" strike="noStrike" kern="1200" spc="0" baseline="0">
                <a:solidFill>
                  <a:schemeClr val="accent1">
                    <a:lumMod val="50000"/>
                  </a:schemeClr>
                </a:solidFill>
                <a:latin typeface="+mn-lt"/>
                <a:ea typeface="+mn-ea"/>
                <a:cs typeface="+mn-cs"/>
              </a:defRPr>
            </a:pPr>
            <a:r>
              <a:rPr lang="en-IN" sz="2000" b="1" i="0" u="none" strike="noStrike" kern="1200" spc="0" baseline="0">
                <a:solidFill>
                  <a:schemeClr val="accent1">
                    <a:lumMod val="50000"/>
                  </a:schemeClr>
                </a:solidFill>
                <a:latin typeface="+mn-lt"/>
                <a:ea typeface="+mn-ea"/>
                <a:cs typeface="+mn-cs"/>
              </a:rPr>
              <a:t>Region by Profit Margin</a:t>
            </a:r>
          </a:p>
        </c:rich>
      </c:tx>
      <c:layout>
        <c:manualLayout>
          <c:xMode val="edge"/>
          <c:yMode val="edge"/>
          <c:x val="0.3993048852764372"/>
          <c:y val="0"/>
        </c:manualLayout>
      </c:layout>
      <c:overlay val="0"/>
      <c:spPr>
        <a:noFill/>
        <a:ln>
          <a:noFill/>
        </a:ln>
        <a:effectLst/>
      </c:spPr>
      <c:txPr>
        <a:bodyPr rot="0" spcFirstLastPara="1" vertOverflow="ellipsis" vert="horz" wrap="square" anchor="ctr" anchorCtr="1"/>
        <a:lstStyle/>
        <a:p>
          <a:pPr algn="ctr" rtl="0">
            <a:defRPr lang="en-IN" sz="2000" b="1" i="0" u="none" strike="noStrike" kern="1200" spc="0" baseline="0">
              <a:solidFill>
                <a:schemeClr val="accent1">
                  <a:lumMod val="50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Sheet4!$O$9:$O$14</c:f>
              <c:strCache>
                <c:ptCount val="6"/>
                <c:pt idx="0">
                  <c:v>California</c:v>
                </c:pt>
                <c:pt idx="1">
                  <c:v>Florida</c:v>
                </c:pt>
                <c:pt idx="2">
                  <c:v>Illinois</c:v>
                </c:pt>
                <c:pt idx="3">
                  <c:v>New York</c:v>
                </c:pt>
                <c:pt idx="4">
                  <c:v>Ohio</c:v>
                </c:pt>
                <c:pt idx="5">
                  <c:v>Texas</c:v>
                </c:pt>
              </c:strCache>
            </c:strRef>
          </c:cat>
          <c:val>
            <c:numRef>
              <c:f>Sheet4!$P$9:$P$14</c:f>
              <c:numCache>
                <c:formatCode>_("₹"* #,##0.00_);_("₹"* \(#,##0.00\);_("₹"* "-"??_);_(@_)</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66EB-41B5-9D29-5A16176DD631}"/>
            </c:ext>
          </c:extLst>
        </c:ser>
        <c:dLbls>
          <c:dLblPos val="outEnd"/>
          <c:showLegendKey val="0"/>
          <c:showVal val="1"/>
          <c:showCatName val="0"/>
          <c:showSerName val="0"/>
          <c:showPercent val="0"/>
          <c:showBubbleSize val="0"/>
        </c:dLbls>
        <c:gapWidth val="150"/>
        <c:axId val="93436752"/>
        <c:axId val="93440592"/>
      </c:barChart>
      <c:lineChart>
        <c:grouping val="standard"/>
        <c:varyColors val="0"/>
        <c:ser>
          <c:idx val="1"/>
          <c:order val="1"/>
          <c:spPr>
            <a:ln w="28575" cap="rnd">
              <a:solidFill>
                <a:schemeClr val="accent2"/>
              </a:solidFill>
              <a:round/>
            </a:ln>
            <a:effectLst/>
          </c:spPr>
          <c:marker>
            <c:symbol val="circle"/>
            <c:size val="5"/>
            <c:spPr>
              <a:solidFill>
                <a:schemeClr val="bg1">
                  <a:lumMod val="95000"/>
                </a:schemeClr>
              </a:solidFill>
              <a:ln w="12700">
                <a:solidFill>
                  <a:schemeClr val="bg1"/>
                </a:solidFill>
              </a:ln>
              <a:effectLst/>
            </c:spPr>
          </c:marker>
          <c:dLbls>
            <c:dLbl>
              <c:idx val="4"/>
              <c:layout>
                <c:manualLayout>
                  <c:x val="1.5360983102917461E-3"/>
                  <c:y val="-3.636363636363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EB-41B5-9D29-5A16176DD631}"/>
                </c:ext>
              </c:extLst>
            </c:dLbl>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Sheet4!$O$9:$O$14</c:f>
              <c:strCache>
                <c:ptCount val="6"/>
                <c:pt idx="0">
                  <c:v>California</c:v>
                </c:pt>
                <c:pt idx="1">
                  <c:v>Florida</c:v>
                </c:pt>
                <c:pt idx="2">
                  <c:v>Illinois</c:v>
                </c:pt>
                <c:pt idx="3">
                  <c:v>New York</c:v>
                </c:pt>
                <c:pt idx="4">
                  <c:v>Ohio</c:v>
                </c:pt>
                <c:pt idx="5">
                  <c:v>Texas</c:v>
                </c:pt>
              </c:strCache>
            </c:strRef>
          </c:cat>
          <c:val>
            <c:numRef>
              <c:f>Sheet4!$R$9:$R$14</c:f>
              <c:numCache>
                <c:formatCode>0.00</c:formatCode>
                <c:ptCount val="6"/>
                <c:pt idx="0">
                  <c:v>6.4966508682912361</c:v>
                </c:pt>
                <c:pt idx="1">
                  <c:v>7.4269036127105119</c:v>
                </c:pt>
                <c:pt idx="2">
                  <c:v>7.4493994580638834</c:v>
                </c:pt>
                <c:pt idx="3">
                  <c:v>7.2830786592860681</c:v>
                </c:pt>
                <c:pt idx="4">
                  <c:v>9.2070732717674808</c:v>
                </c:pt>
                <c:pt idx="5">
                  <c:v>6.4897085480373793</c:v>
                </c:pt>
              </c:numCache>
            </c:numRef>
          </c:val>
          <c:smooth val="0"/>
          <c:extLst>
            <c:ext xmlns:c16="http://schemas.microsoft.com/office/drawing/2014/chart" uri="{C3380CC4-5D6E-409C-BE32-E72D297353CC}">
              <c16:uniqueId val="{00000005-66EB-41B5-9D29-5A16176DD631}"/>
            </c:ext>
          </c:extLst>
        </c:ser>
        <c:dLbls>
          <c:showLegendKey val="0"/>
          <c:showVal val="0"/>
          <c:showCatName val="0"/>
          <c:showSerName val="0"/>
          <c:showPercent val="0"/>
          <c:showBubbleSize val="0"/>
        </c:dLbls>
        <c:marker val="1"/>
        <c:smooth val="0"/>
        <c:axId val="2020202064"/>
        <c:axId val="2020201584"/>
      </c:lineChart>
      <c:catAx>
        <c:axId val="9343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2">
                    <a:lumMod val="50000"/>
                  </a:schemeClr>
                </a:solidFill>
                <a:latin typeface="Aptos SemiBold" panose="020B0004020202020204" pitchFamily="34" charset="0"/>
                <a:ea typeface="+mn-ea"/>
                <a:cs typeface="+mn-cs"/>
              </a:defRPr>
            </a:pPr>
            <a:endParaRPr lang="en-US"/>
          </a:p>
        </c:txPr>
        <c:crossAx val="93440592"/>
        <c:crosses val="autoZero"/>
        <c:auto val="1"/>
        <c:lblAlgn val="ctr"/>
        <c:lblOffset val="100"/>
        <c:noMultiLvlLbl val="0"/>
      </c:catAx>
      <c:valAx>
        <c:axId val="934405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6752"/>
        <c:crosses val="autoZero"/>
        <c:crossBetween val="between"/>
      </c:valAx>
      <c:valAx>
        <c:axId val="20202015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202064"/>
        <c:crosses val="max"/>
        <c:crossBetween val="between"/>
      </c:valAx>
      <c:catAx>
        <c:axId val="2020202064"/>
        <c:scaling>
          <c:orientation val="minMax"/>
        </c:scaling>
        <c:delete val="1"/>
        <c:axPos val="b"/>
        <c:numFmt formatCode="General" sourceLinked="1"/>
        <c:majorTickMark val="out"/>
        <c:minorTickMark val="none"/>
        <c:tickLblPos val="nextTo"/>
        <c:crossAx val="20202015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2000" b="1" i="0" u="none" strike="noStrike" kern="1200" spc="0" baseline="0">
                <a:solidFill>
                  <a:schemeClr val="accent1">
                    <a:lumMod val="50000"/>
                  </a:schemeClr>
                </a:solidFill>
                <a:latin typeface="+mn-lt"/>
                <a:ea typeface="+mn-ea"/>
                <a:cs typeface="+mn-cs"/>
              </a:defRPr>
            </a:pPr>
            <a:r>
              <a:rPr lang="en-IN" sz="2000" b="1" i="0" u="none" strike="noStrike" kern="1200" spc="0" baseline="0">
                <a:solidFill>
                  <a:schemeClr val="accent1">
                    <a:lumMod val="50000"/>
                  </a:schemeClr>
                </a:solidFill>
                <a:latin typeface="+mn-lt"/>
                <a:ea typeface="+mn-ea"/>
                <a:cs typeface="+mn-cs"/>
              </a:rPr>
              <a:t>Monthly Revenue Trend</a:t>
            </a:r>
          </a:p>
        </c:rich>
      </c:tx>
      <c:overlay val="0"/>
      <c:spPr>
        <a:noFill/>
        <a:ln>
          <a:noFill/>
        </a:ln>
        <a:effectLst/>
      </c:spPr>
      <c:txPr>
        <a:bodyPr rot="0" spcFirstLastPara="1" vertOverflow="ellipsis" vert="horz" wrap="square" anchor="ctr" anchorCtr="1"/>
        <a:lstStyle/>
        <a:p>
          <a:pPr algn="ctr" rtl="0">
            <a:defRPr lang="en-IN" sz="2000" b="1" i="0" u="none" strike="noStrike" kern="1200" spc="0" baseline="0">
              <a:solidFill>
                <a:schemeClr val="accent1">
                  <a:lumMod val="50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9"/>
              <c:layout>
                <c:manualLayout>
                  <c:x val="-3.7787605564848586E-2"/>
                  <c:y val="0.116287795275590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CC-46CC-9550-12EB9BC2F4DC}"/>
                </c:ext>
              </c:extLst>
            </c:dLbl>
            <c:dLbl>
              <c:idx val="11"/>
              <c:layout>
                <c:manualLayout>
                  <c:x val="-1.0271877932357053E-2"/>
                  <c:y val="8.12877952755905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CC-46CC-9550-12EB9BC2F4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Sheet4!$T$1:$T$12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Sheet4!$U$1:$U$12</c:f>
              <c:numCache>
                <c:formatCode>_("₹"* #,##0.00_);_("₹"* \(#,##0.00\);_("₹"* "-"??_);_(@_)</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mooth val="0"/>
          <c:extLst>
            <c:ext xmlns:c16="http://schemas.microsoft.com/office/drawing/2014/chart" uri="{C3380CC4-5D6E-409C-BE32-E72D297353CC}">
              <c16:uniqueId val="{00000000-B0CC-46CC-9550-12EB9BC2F4DC}"/>
            </c:ext>
          </c:extLst>
        </c:ser>
        <c:dLbls>
          <c:dLblPos val="b"/>
          <c:showLegendKey val="0"/>
          <c:showVal val="1"/>
          <c:showCatName val="0"/>
          <c:showSerName val="0"/>
          <c:showPercent val="0"/>
          <c:showBubbleSize val="0"/>
        </c:dLbls>
        <c:marker val="1"/>
        <c:smooth val="0"/>
        <c:axId val="237758432"/>
        <c:axId val="237758912"/>
      </c:lineChart>
      <c:catAx>
        <c:axId val="23775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chemeClr val="accent2">
                    <a:lumMod val="50000"/>
                  </a:schemeClr>
                </a:solidFill>
                <a:latin typeface="Aptos SemiBold" panose="020B0004020202020204" pitchFamily="34" charset="0"/>
                <a:ea typeface="+mn-ea"/>
                <a:cs typeface="+mn-cs"/>
              </a:defRPr>
            </a:pPr>
            <a:endParaRPr lang="en-US"/>
          </a:p>
        </c:txPr>
        <c:crossAx val="237758912"/>
        <c:crosses val="autoZero"/>
        <c:auto val="1"/>
        <c:lblAlgn val="ctr"/>
        <c:lblOffset val="100"/>
        <c:noMultiLvlLbl val="0"/>
      </c:catAx>
      <c:valAx>
        <c:axId val="2377589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106680</xdr:rowOff>
    </xdr:from>
    <xdr:to>
      <xdr:col>25</xdr:col>
      <xdr:colOff>63500</xdr:colOff>
      <xdr:row>32</xdr:row>
      <xdr:rowOff>215900</xdr:rowOff>
    </xdr:to>
    <xdr:sp macro="" textlink="">
      <xdr:nvSpPr>
        <xdr:cNvPr id="3" name="Rectangle: Rounded Corners 2">
          <a:extLst>
            <a:ext uri="{FF2B5EF4-FFF2-40B4-BE49-F238E27FC236}">
              <a16:creationId xmlns:a16="http://schemas.microsoft.com/office/drawing/2014/main" id="{8FA1669D-0E71-388D-A3F1-F5B226895B95}"/>
            </a:ext>
          </a:extLst>
        </xdr:cNvPr>
        <xdr:cNvSpPr/>
      </xdr:nvSpPr>
      <xdr:spPr>
        <a:xfrm>
          <a:off x="45720" y="106680"/>
          <a:ext cx="15257780" cy="7424420"/>
        </a:xfrm>
        <a:prstGeom prst="roundRect">
          <a:avLst>
            <a:gd name="adj" fmla="val 484"/>
          </a:avLst>
        </a:prstGeom>
        <a:solidFill>
          <a:sysClr val="window" lastClr="FFFFFF"/>
        </a:solidFill>
        <a:ln>
          <a:solidFill>
            <a:schemeClr val="accent2"/>
          </a:solidFill>
        </a:ln>
      </xdr:spPr>
      <xdr:style>
        <a:lnRef idx="0">
          <a:scrgbClr r="0" g="0" b="0"/>
        </a:lnRef>
        <a:fillRef idx="1002">
          <a:schemeClr val="lt2"/>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587828</xdr:colOff>
      <xdr:row>0</xdr:row>
      <xdr:rowOff>119741</xdr:rowOff>
    </xdr:from>
    <xdr:to>
      <xdr:col>24</xdr:col>
      <xdr:colOff>594360</xdr:colOff>
      <xdr:row>6</xdr:row>
      <xdr:rowOff>114300</xdr:rowOff>
    </xdr:to>
    <xdr:sp macro="" textlink="">
      <xdr:nvSpPr>
        <xdr:cNvPr id="4" name="Rectangle: Top Corners Rounded 3">
          <a:extLst>
            <a:ext uri="{FF2B5EF4-FFF2-40B4-BE49-F238E27FC236}">
              <a16:creationId xmlns:a16="http://schemas.microsoft.com/office/drawing/2014/main" id="{3F0B3C7E-BA6A-B313-60F7-676455C66D3B}"/>
            </a:ext>
          </a:extLst>
        </xdr:cNvPr>
        <xdr:cNvSpPr/>
      </xdr:nvSpPr>
      <xdr:spPr>
        <a:xfrm>
          <a:off x="2416628" y="119741"/>
          <a:ext cx="12808132" cy="1366159"/>
        </a:xfrm>
        <a:prstGeom prst="round2SameRect">
          <a:avLst>
            <a:gd name="adj1" fmla="val 13017"/>
            <a:gd name="adj2" fmla="val 0"/>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3200">
              <a:solidFill>
                <a:schemeClr val="bg1"/>
              </a:solidFill>
              <a:latin typeface="Aharoni" panose="02010803020104030203" pitchFamily="2" charset="-79"/>
              <a:cs typeface="Aharoni" panose="02010803020104030203" pitchFamily="2" charset="-79"/>
            </a:rPr>
            <a:t>SALES DASHBOARD</a:t>
          </a:r>
        </a:p>
      </xdr:txBody>
    </xdr:sp>
    <xdr:clientData/>
  </xdr:twoCellAnchor>
  <xdr:twoCellAnchor>
    <xdr:from>
      <xdr:col>4</xdr:col>
      <xdr:colOff>99795</xdr:colOff>
      <xdr:row>3</xdr:row>
      <xdr:rowOff>125186</xdr:rowOff>
    </xdr:from>
    <xdr:to>
      <xdr:col>8</xdr:col>
      <xdr:colOff>73395</xdr:colOff>
      <xdr:row>8</xdr:row>
      <xdr:rowOff>190500</xdr:rowOff>
    </xdr:to>
    <xdr:grpSp>
      <xdr:nvGrpSpPr>
        <xdr:cNvPr id="14" name="Group 13">
          <a:extLst>
            <a:ext uri="{FF2B5EF4-FFF2-40B4-BE49-F238E27FC236}">
              <a16:creationId xmlns:a16="http://schemas.microsoft.com/office/drawing/2014/main" id="{43930C0E-A3F2-EBE9-FE9B-CC4DADC82659}"/>
            </a:ext>
          </a:extLst>
        </xdr:cNvPr>
        <xdr:cNvGrpSpPr/>
      </xdr:nvGrpSpPr>
      <xdr:grpSpPr>
        <a:xfrm>
          <a:off x="2538195" y="824433"/>
          <a:ext cx="2412000" cy="1230726"/>
          <a:chOff x="1970314" y="1175657"/>
          <a:chExt cx="2438401" cy="1175657"/>
        </a:xfrm>
      </xdr:grpSpPr>
      <xdr:sp macro="" textlink="Sheet4!C4">
        <xdr:nvSpPr>
          <xdr:cNvPr id="5" name="Rectangle: Rounded Corners 4">
            <a:extLst>
              <a:ext uri="{FF2B5EF4-FFF2-40B4-BE49-F238E27FC236}">
                <a16:creationId xmlns:a16="http://schemas.microsoft.com/office/drawing/2014/main" id="{1909F7B0-8BE5-382B-0F11-A9BB1F0FC78E}"/>
              </a:ext>
            </a:extLst>
          </xdr:cNvPr>
          <xdr:cNvSpPr/>
        </xdr:nvSpPr>
        <xdr:spPr>
          <a:xfrm>
            <a:off x="1970315" y="1175657"/>
            <a:ext cx="2438400" cy="1175657"/>
          </a:xfrm>
          <a:prstGeom prst="round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E10D0A5-C53E-4D19-BB00-BC9AC41AB2C6}" type="TxLink">
              <a:rPr lang="en-US" sz="2800" b="0" i="0" u="none" strike="noStrike">
                <a:solidFill>
                  <a:schemeClr val="tx2">
                    <a:lumMod val="90000"/>
                    <a:lumOff val="10000"/>
                  </a:schemeClr>
                </a:solidFill>
                <a:latin typeface="Aharoni" panose="02010803020104030203" pitchFamily="2" charset="-79"/>
                <a:cs typeface="Aharoni" panose="02010803020104030203" pitchFamily="2" charset="-79"/>
              </a:rPr>
              <a:pPr algn="ctr"/>
              <a:t> ₹ 61,82,639.00 </a:t>
            </a:fld>
            <a:endParaRPr lang="en-IN" sz="2800">
              <a:solidFill>
                <a:schemeClr val="tx2">
                  <a:lumMod val="90000"/>
                  <a:lumOff val="10000"/>
                </a:schemeClr>
              </a:solidFill>
              <a:latin typeface="Aharoni" panose="02010803020104030203" pitchFamily="2" charset="-79"/>
              <a:cs typeface="Aharoni" panose="02010803020104030203" pitchFamily="2" charset="-79"/>
            </a:endParaRPr>
          </a:p>
        </xdr:txBody>
      </xdr:sp>
      <xdr:sp macro="" textlink="">
        <xdr:nvSpPr>
          <xdr:cNvPr id="10" name="TextBox 9">
            <a:extLst>
              <a:ext uri="{FF2B5EF4-FFF2-40B4-BE49-F238E27FC236}">
                <a16:creationId xmlns:a16="http://schemas.microsoft.com/office/drawing/2014/main" id="{7C1A10EA-3683-CDC1-2C79-ED3415607C6F}"/>
              </a:ext>
            </a:extLst>
          </xdr:cNvPr>
          <xdr:cNvSpPr txBox="1"/>
        </xdr:nvSpPr>
        <xdr:spPr>
          <a:xfrm>
            <a:off x="1970314" y="1328057"/>
            <a:ext cx="2438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2">
                    <a:lumMod val="90000"/>
                    <a:lumOff val="10000"/>
                  </a:schemeClr>
                </a:solidFill>
                <a:latin typeface="Aharoni" panose="02010803020104030203" pitchFamily="2" charset="-79"/>
                <a:cs typeface="Aharoni" panose="02010803020104030203" pitchFamily="2" charset="-79"/>
              </a:rPr>
              <a:t>TOTAL REVENUE</a:t>
            </a:r>
          </a:p>
        </xdr:txBody>
      </xdr:sp>
    </xdr:grpSp>
    <xdr:clientData/>
  </xdr:twoCellAnchor>
  <xdr:twoCellAnchor>
    <xdr:from>
      <xdr:col>16</xdr:col>
      <xdr:colOff>368301</xdr:colOff>
      <xdr:row>3</xdr:row>
      <xdr:rowOff>101600</xdr:rowOff>
    </xdr:from>
    <xdr:to>
      <xdr:col>20</xdr:col>
      <xdr:colOff>341901</xdr:colOff>
      <xdr:row>8</xdr:row>
      <xdr:rowOff>177800</xdr:rowOff>
    </xdr:to>
    <xdr:grpSp>
      <xdr:nvGrpSpPr>
        <xdr:cNvPr id="17" name="Group 16">
          <a:extLst>
            <a:ext uri="{FF2B5EF4-FFF2-40B4-BE49-F238E27FC236}">
              <a16:creationId xmlns:a16="http://schemas.microsoft.com/office/drawing/2014/main" id="{FB7FA475-9499-2337-F7F5-A3DF978ECC6B}"/>
            </a:ext>
          </a:extLst>
        </xdr:cNvPr>
        <xdr:cNvGrpSpPr/>
      </xdr:nvGrpSpPr>
      <xdr:grpSpPr>
        <a:xfrm>
          <a:off x="10121901" y="800847"/>
          <a:ext cx="2412000" cy="1241612"/>
          <a:chOff x="10733314" y="1143000"/>
          <a:chExt cx="2438400" cy="1175657"/>
        </a:xfrm>
      </xdr:grpSpPr>
      <xdr:sp macro="" textlink="Sheet4!C13">
        <xdr:nvSpPr>
          <xdr:cNvPr id="8" name="Rectangle: Rounded Corners 7">
            <a:extLst>
              <a:ext uri="{FF2B5EF4-FFF2-40B4-BE49-F238E27FC236}">
                <a16:creationId xmlns:a16="http://schemas.microsoft.com/office/drawing/2014/main" id="{C105BD58-933F-4D8E-B84C-52B8EF2D6F63}"/>
              </a:ext>
            </a:extLst>
          </xdr:cNvPr>
          <xdr:cNvSpPr/>
        </xdr:nvSpPr>
        <xdr:spPr>
          <a:xfrm>
            <a:off x="10733315" y="1143000"/>
            <a:ext cx="2434275" cy="1175657"/>
          </a:xfrm>
          <a:prstGeom prst="round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2EDDFD4-DB7C-4571-948B-4BE695AA1634}" type="TxLink">
              <a:rPr lang="en-US"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rPr>
              <a:pPr marL="0" indent="0" algn="ctr"/>
              <a:t>7.35%</a:t>
            </a:fld>
            <a:endParaRPr lang="en-IN"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endParaRPr>
          </a:p>
        </xdr:txBody>
      </xdr:sp>
      <xdr:sp macro="" textlink="">
        <xdr:nvSpPr>
          <xdr:cNvPr id="11" name="TextBox 10">
            <a:extLst>
              <a:ext uri="{FF2B5EF4-FFF2-40B4-BE49-F238E27FC236}">
                <a16:creationId xmlns:a16="http://schemas.microsoft.com/office/drawing/2014/main" id="{6E54C11F-9E76-499D-94FC-153914FA2B78}"/>
              </a:ext>
            </a:extLst>
          </xdr:cNvPr>
          <xdr:cNvSpPr txBox="1"/>
        </xdr:nvSpPr>
        <xdr:spPr>
          <a:xfrm>
            <a:off x="10733314" y="1295400"/>
            <a:ext cx="2438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2">
                    <a:lumMod val="90000"/>
                    <a:lumOff val="10000"/>
                  </a:schemeClr>
                </a:solidFill>
                <a:latin typeface="Aharoni" panose="02010803020104030203" pitchFamily="2" charset="-79"/>
                <a:cs typeface="Aharoni" panose="02010803020104030203" pitchFamily="2" charset="-79"/>
              </a:rPr>
              <a:t>PROFIT</a:t>
            </a:r>
            <a:r>
              <a:rPr lang="en-IN" sz="2000" baseline="0">
                <a:solidFill>
                  <a:schemeClr val="tx2">
                    <a:lumMod val="90000"/>
                    <a:lumOff val="10000"/>
                  </a:schemeClr>
                </a:solidFill>
                <a:latin typeface="Aharoni" panose="02010803020104030203" pitchFamily="2" charset="-79"/>
                <a:cs typeface="Aharoni" panose="02010803020104030203" pitchFamily="2" charset="-79"/>
              </a:rPr>
              <a:t> MARGIN %</a:t>
            </a:r>
            <a:endParaRPr lang="en-IN" sz="2000">
              <a:solidFill>
                <a:schemeClr val="tx2">
                  <a:lumMod val="90000"/>
                  <a:lumOff val="10000"/>
                </a:schemeClr>
              </a:solidFill>
              <a:latin typeface="Aharoni" panose="02010803020104030203" pitchFamily="2" charset="-79"/>
              <a:cs typeface="Aharoni" panose="02010803020104030203" pitchFamily="2" charset="-79"/>
            </a:endParaRPr>
          </a:p>
        </xdr:txBody>
      </xdr:sp>
    </xdr:grpSp>
    <xdr:clientData/>
  </xdr:twoCellAnchor>
  <xdr:twoCellAnchor>
    <xdr:from>
      <xdr:col>12</xdr:col>
      <xdr:colOff>283031</xdr:colOff>
      <xdr:row>3</xdr:row>
      <xdr:rowOff>97971</xdr:rowOff>
    </xdr:from>
    <xdr:to>
      <xdr:col>16</xdr:col>
      <xdr:colOff>256631</xdr:colOff>
      <xdr:row>8</xdr:row>
      <xdr:rowOff>190500</xdr:rowOff>
    </xdr:to>
    <xdr:grpSp>
      <xdr:nvGrpSpPr>
        <xdr:cNvPr id="16" name="Group 15">
          <a:extLst>
            <a:ext uri="{FF2B5EF4-FFF2-40B4-BE49-F238E27FC236}">
              <a16:creationId xmlns:a16="http://schemas.microsoft.com/office/drawing/2014/main" id="{3F2ED12B-4509-D0A5-4A41-52B2085EF973}"/>
            </a:ext>
          </a:extLst>
        </xdr:cNvPr>
        <xdr:cNvGrpSpPr/>
      </xdr:nvGrpSpPr>
      <xdr:grpSpPr>
        <a:xfrm>
          <a:off x="7598231" y="797218"/>
          <a:ext cx="2412000" cy="1257941"/>
          <a:chOff x="7812315" y="1153886"/>
          <a:chExt cx="2442029" cy="1175657"/>
        </a:xfrm>
      </xdr:grpSpPr>
      <xdr:sp macro="" textlink="Sheet4!C10">
        <xdr:nvSpPr>
          <xdr:cNvPr id="7" name="Rectangle: Rounded Corners 6">
            <a:extLst>
              <a:ext uri="{FF2B5EF4-FFF2-40B4-BE49-F238E27FC236}">
                <a16:creationId xmlns:a16="http://schemas.microsoft.com/office/drawing/2014/main" id="{6BBC158B-2941-47EF-B5DD-8B1A89C1635D}"/>
              </a:ext>
            </a:extLst>
          </xdr:cNvPr>
          <xdr:cNvSpPr/>
        </xdr:nvSpPr>
        <xdr:spPr>
          <a:xfrm>
            <a:off x="7812315" y="1153886"/>
            <a:ext cx="2438400" cy="1175657"/>
          </a:xfrm>
          <a:prstGeom prst="round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71CB04A7-7C95-4E66-BE5F-DD1D604828CF}" type="TxLink">
              <a:rPr lang="en-US"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rPr>
              <a:pPr marL="0" indent="0" algn="ctr"/>
              <a:t>1194</a:t>
            </a:fld>
            <a:endParaRPr lang="en-IN"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endParaRPr>
          </a:p>
        </xdr:txBody>
      </xdr:sp>
      <xdr:sp macro="" textlink="">
        <xdr:nvSpPr>
          <xdr:cNvPr id="12" name="TextBox 11">
            <a:extLst>
              <a:ext uri="{FF2B5EF4-FFF2-40B4-BE49-F238E27FC236}">
                <a16:creationId xmlns:a16="http://schemas.microsoft.com/office/drawing/2014/main" id="{7925EB4E-23F6-440A-B7F9-38B4D2F1411F}"/>
              </a:ext>
            </a:extLst>
          </xdr:cNvPr>
          <xdr:cNvSpPr txBox="1"/>
        </xdr:nvSpPr>
        <xdr:spPr>
          <a:xfrm>
            <a:off x="7815944" y="1284514"/>
            <a:ext cx="2438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2">
                    <a:lumMod val="90000"/>
                    <a:lumOff val="10000"/>
                  </a:schemeClr>
                </a:solidFill>
                <a:latin typeface="Aharoni" panose="02010803020104030203" pitchFamily="2" charset="-79"/>
                <a:cs typeface="Aharoni" panose="02010803020104030203" pitchFamily="2" charset="-79"/>
              </a:rPr>
              <a:t>TOTAL ORDERS</a:t>
            </a:r>
          </a:p>
        </xdr:txBody>
      </xdr:sp>
    </xdr:grpSp>
    <xdr:clientData/>
  </xdr:twoCellAnchor>
  <xdr:twoCellAnchor>
    <xdr:from>
      <xdr:col>8</xdr:col>
      <xdr:colOff>189415</xdr:colOff>
      <xdr:row>3</xdr:row>
      <xdr:rowOff>112485</xdr:rowOff>
    </xdr:from>
    <xdr:to>
      <xdr:col>12</xdr:col>
      <xdr:colOff>163015</xdr:colOff>
      <xdr:row>8</xdr:row>
      <xdr:rowOff>190500</xdr:rowOff>
    </xdr:to>
    <xdr:grpSp>
      <xdr:nvGrpSpPr>
        <xdr:cNvPr id="15" name="Group 14">
          <a:extLst>
            <a:ext uri="{FF2B5EF4-FFF2-40B4-BE49-F238E27FC236}">
              <a16:creationId xmlns:a16="http://schemas.microsoft.com/office/drawing/2014/main" id="{481E4AB1-4CB1-3D44-9C99-AE6A9BCC1A5C}"/>
            </a:ext>
          </a:extLst>
        </xdr:cNvPr>
        <xdr:cNvGrpSpPr/>
      </xdr:nvGrpSpPr>
      <xdr:grpSpPr>
        <a:xfrm>
          <a:off x="5066215" y="811732"/>
          <a:ext cx="2412000" cy="1243427"/>
          <a:chOff x="4887686" y="1175657"/>
          <a:chExt cx="2442031" cy="1175657"/>
        </a:xfrm>
      </xdr:grpSpPr>
      <xdr:sp macro="" textlink="Sheet4!C7">
        <xdr:nvSpPr>
          <xdr:cNvPr id="6" name="Rectangle: Rounded Corners 5">
            <a:extLst>
              <a:ext uri="{FF2B5EF4-FFF2-40B4-BE49-F238E27FC236}">
                <a16:creationId xmlns:a16="http://schemas.microsoft.com/office/drawing/2014/main" id="{D0187553-8D4A-4675-B67E-C3897515B2F5}"/>
              </a:ext>
            </a:extLst>
          </xdr:cNvPr>
          <xdr:cNvSpPr/>
        </xdr:nvSpPr>
        <xdr:spPr>
          <a:xfrm>
            <a:off x="4891316" y="1175657"/>
            <a:ext cx="2438401" cy="1175657"/>
          </a:xfrm>
          <a:prstGeom prst="round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2E585FF3-176D-4D7B-9DB3-740EB3ED5690}" type="TxLink">
              <a:rPr lang="en-US"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rPr>
              <a:pPr marL="0" indent="0" algn="ctr"/>
              <a:t> ₹ 16,10,697.00 </a:t>
            </a:fld>
            <a:endParaRPr lang="en-IN"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endParaRPr>
          </a:p>
        </xdr:txBody>
      </xdr:sp>
      <xdr:sp macro="" textlink="">
        <xdr:nvSpPr>
          <xdr:cNvPr id="13" name="TextBox 12">
            <a:extLst>
              <a:ext uri="{FF2B5EF4-FFF2-40B4-BE49-F238E27FC236}">
                <a16:creationId xmlns:a16="http://schemas.microsoft.com/office/drawing/2014/main" id="{53651B15-8D12-4824-97B6-E0683069D039}"/>
              </a:ext>
            </a:extLst>
          </xdr:cNvPr>
          <xdr:cNvSpPr txBox="1"/>
        </xdr:nvSpPr>
        <xdr:spPr>
          <a:xfrm>
            <a:off x="4887686" y="1328057"/>
            <a:ext cx="2438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tx2">
                    <a:lumMod val="90000"/>
                    <a:lumOff val="10000"/>
                  </a:schemeClr>
                </a:solidFill>
                <a:latin typeface="Aharoni" panose="02010803020104030203" pitchFamily="2" charset="-79"/>
                <a:cs typeface="Aharoni" panose="02010803020104030203" pitchFamily="2" charset="-79"/>
              </a:rPr>
              <a:t>TOTAL PROFIT</a:t>
            </a:r>
          </a:p>
        </xdr:txBody>
      </xdr:sp>
    </xdr:grpSp>
    <xdr:clientData/>
  </xdr:twoCellAnchor>
  <xdr:twoCellAnchor>
    <xdr:from>
      <xdr:col>0</xdr:col>
      <xdr:colOff>65472</xdr:colOff>
      <xdr:row>0</xdr:row>
      <xdr:rowOff>126997</xdr:rowOff>
    </xdr:from>
    <xdr:to>
      <xdr:col>3</xdr:col>
      <xdr:colOff>558799</xdr:colOff>
      <xdr:row>32</xdr:row>
      <xdr:rowOff>95253</xdr:rowOff>
    </xdr:to>
    <xdr:sp macro="" textlink="">
      <xdr:nvSpPr>
        <xdr:cNvPr id="21" name="Rectangle: Top Corners Rounded 20">
          <a:extLst>
            <a:ext uri="{FF2B5EF4-FFF2-40B4-BE49-F238E27FC236}">
              <a16:creationId xmlns:a16="http://schemas.microsoft.com/office/drawing/2014/main" id="{91DA9562-5290-40C5-9840-E0DF3001133A}"/>
            </a:ext>
          </a:extLst>
        </xdr:cNvPr>
        <xdr:cNvSpPr/>
      </xdr:nvSpPr>
      <xdr:spPr>
        <a:xfrm rot="5400000">
          <a:off x="-2415192" y="2607661"/>
          <a:ext cx="7283456" cy="2322127"/>
        </a:xfrm>
        <a:prstGeom prst="round2SameRect">
          <a:avLst>
            <a:gd name="adj1" fmla="val 0"/>
            <a:gd name="adj2" fmla="val 0"/>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3200">
            <a:solidFill>
              <a:schemeClr val="bg1"/>
            </a:solidFill>
            <a:latin typeface="Aharoni" panose="02010803020104030203" pitchFamily="2" charset="-79"/>
            <a:cs typeface="Aharoni" panose="02010803020104030203" pitchFamily="2" charset="-79"/>
          </a:endParaRPr>
        </a:p>
      </xdr:txBody>
    </xdr:sp>
    <xdr:clientData/>
  </xdr:twoCellAnchor>
  <xdr:twoCellAnchor editAs="oneCell">
    <xdr:from>
      <xdr:col>0</xdr:col>
      <xdr:colOff>93013</xdr:colOff>
      <xdr:row>0</xdr:row>
      <xdr:rowOff>189513</xdr:rowOff>
    </xdr:from>
    <xdr:to>
      <xdr:col>3</xdr:col>
      <xdr:colOff>532213</xdr:colOff>
      <xdr:row>7</xdr:row>
      <xdr:rowOff>134620</xdr:rowOff>
    </xdr:to>
    <mc:AlternateContent xmlns:mc="http://schemas.openxmlformats.org/markup-compatibility/2006" xmlns:a14="http://schemas.microsoft.com/office/drawing/2010/main">
      <mc:Choice Requires="a14">
        <xdr:graphicFrame macro="">
          <xdr:nvGraphicFramePr>
            <xdr:cNvPr id="19" name="Years (Order Date)">
              <a:extLst>
                <a:ext uri="{FF2B5EF4-FFF2-40B4-BE49-F238E27FC236}">
                  <a16:creationId xmlns:a16="http://schemas.microsoft.com/office/drawing/2014/main" id="{9E6543A4-8B55-4F24-82DD-8FC6CC1886D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3013" y="189513"/>
              <a:ext cx="2268000" cy="1545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89263</xdr:colOff>
      <xdr:row>7</xdr:row>
      <xdr:rowOff>202836</xdr:rowOff>
    </xdr:from>
    <xdr:to>
      <xdr:col>3</xdr:col>
      <xdr:colOff>528463</xdr:colOff>
      <xdr:row>20</xdr:row>
      <xdr:rowOff>114300</xdr:rowOff>
    </xdr:to>
    <mc:AlternateContent xmlns:mc="http://schemas.openxmlformats.org/markup-compatibility/2006" xmlns:a14="http://schemas.microsoft.com/office/drawing/2010/main">
      <mc:Choice Requires="a14">
        <xdr:graphicFrame macro="">
          <xdr:nvGraphicFramePr>
            <xdr:cNvPr id="20" name="Months (Order Date)">
              <a:extLst>
                <a:ext uri="{FF2B5EF4-FFF2-40B4-BE49-F238E27FC236}">
                  <a16:creationId xmlns:a16="http://schemas.microsoft.com/office/drawing/2014/main" id="{7AFA4F68-199B-4919-A2F4-EE8F87223CD5}"/>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9263" y="1803036"/>
              <a:ext cx="2268000" cy="2883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20</xdr:row>
      <xdr:rowOff>133351</xdr:rowOff>
    </xdr:from>
    <xdr:to>
      <xdr:col>3</xdr:col>
      <xdr:colOff>528100</xdr:colOff>
      <xdr:row>31</xdr:row>
      <xdr:rowOff>190500</xdr:rowOff>
    </xdr:to>
    <mc:AlternateContent xmlns:mc="http://schemas.openxmlformats.org/markup-compatibility/2006" xmlns:a14="http://schemas.microsoft.com/office/drawing/2010/main">
      <mc:Choice Requires="a14">
        <xdr:graphicFrame macro="">
          <xdr:nvGraphicFramePr>
            <xdr:cNvPr id="2" name="State">
              <a:extLst>
                <a:ext uri="{FF2B5EF4-FFF2-40B4-BE49-F238E27FC236}">
                  <a16:creationId xmlns:a16="http://schemas.microsoft.com/office/drawing/2014/main" id="{D047E343-B9D5-4A77-AE20-1658F0E36EF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8900" y="4705351"/>
              <a:ext cx="2268000" cy="2571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215900</xdr:colOff>
      <xdr:row>9</xdr:row>
      <xdr:rowOff>158750</xdr:rowOff>
    </xdr:from>
    <xdr:to>
      <xdr:col>24</xdr:col>
      <xdr:colOff>419100</xdr:colOff>
      <xdr:row>19</xdr:row>
      <xdr:rowOff>63500</xdr:rowOff>
    </xdr:to>
    <xdr:grpSp>
      <xdr:nvGrpSpPr>
        <xdr:cNvPr id="27" name="Group 26">
          <a:extLst>
            <a:ext uri="{FF2B5EF4-FFF2-40B4-BE49-F238E27FC236}">
              <a16:creationId xmlns:a16="http://schemas.microsoft.com/office/drawing/2014/main" id="{5AD31274-CEBB-EFFC-BA26-FDD7143D170C}"/>
            </a:ext>
          </a:extLst>
        </xdr:cNvPr>
        <xdr:cNvGrpSpPr/>
      </xdr:nvGrpSpPr>
      <xdr:grpSpPr>
        <a:xfrm>
          <a:off x="11188700" y="2256491"/>
          <a:ext cx="3860800" cy="2235574"/>
          <a:chOff x="11328400" y="2444750"/>
          <a:chExt cx="3860800" cy="2190750"/>
        </a:xfrm>
      </xdr:grpSpPr>
      <xdr:sp macro="" textlink="">
        <xdr:nvSpPr>
          <xdr:cNvPr id="18" name="Rectangle: Rounded Corners 17">
            <a:extLst>
              <a:ext uri="{FF2B5EF4-FFF2-40B4-BE49-F238E27FC236}">
                <a16:creationId xmlns:a16="http://schemas.microsoft.com/office/drawing/2014/main" id="{57D08BC6-DD04-58F2-0C26-A1B8D7883ECB}"/>
              </a:ext>
            </a:extLst>
          </xdr:cNvPr>
          <xdr:cNvSpPr/>
        </xdr:nvSpPr>
        <xdr:spPr>
          <a:xfrm>
            <a:off x="11328400" y="2444750"/>
            <a:ext cx="3860800" cy="2190750"/>
          </a:xfrm>
          <a:prstGeom prst="roundRect">
            <a:avLst>
              <a:gd name="adj" fmla="val 6600"/>
            </a:avLst>
          </a:prstGeom>
          <a:solidFill>
            <a:srgbClr val="FFF52D">
              <a:alpha val="40000"/>
            </a:srgbClr>
          </a:solidFill>
          <a:ln>
            <a:solidFill>
              <a:srgbClr val="FFD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D2F3AC51-DE29-44D6-9310-09C153695EAB}"/>
              </a:ext>
            </a:extLst>
          </xdr:cNvPr>
          <xdr:cNvGraphicFramePr>
            <a:graphicFrameLocks/>
          </xdr:cNvGraphicFramePr>
        </xdr:nvGraphicFramePr>
        <xdr:xfrm>
          <a:off x="11423479" y="2451101"/>
          <a:ext cx="3607255" cy="212558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4</xdr:col>
      <xdr:colOff>114300</xdr:colOff>
      <xdr:row>9</xdr:row>
      <xdr:rowOff>184150</xdr:rowOff>
    </xdr:from>
    <xdr:to>
      <xdr:col>18</xdr:col>
      <xdr:colOff>50800</xdr:colOff>
      <xdr:row>19</xdr:row>
      <xdr:rowOff>88900</xdr:rowOff>
    </xdr:to>
    <xdr:grpSp>
      <xdr:nvGrpSpPr>
        <xdr:cNvPr id="26" name="Group 25">
          <a:extLst>
            <a:ext uri="{FF2B5EF4-FFF2-40B4-BE49-F238E27FC236}">
              <a16:creationId xmlns:a16="http://schemas.microsoft.com/office/drawing/2014/main" id="{67EF605A-6086-7574-FC25-109FA513F3D0}"/>
            </a:ext>
          </a:extLst>
        </xdr:cNvPr>
        <xdr:cNvGrpSpPr/>
      </xdr:nvGrpSpPr>
      <xdr:grpSpPr>
        <a:xfrm>
          <a:off x="2552700" y="2281891"/>
          <a:ext cx="8470900" cy="2235574"/>
          <a:chOff x="2692400" y="2444750"/>
          <a:chExt cx="8470900" cy="2190750"/>
        </a:xfrm>
      </xdr:grpSpPr>
      <xdr:sp macro="" textlink="">
        <xdr:nvSpPr>
          <xdr:cNvPr id="23" name="Rectangle: Rounded Corners 22">
            <a:extLst>
              <a:ext uri="{FF2B5EF4-FFF2-40B4-BE49-F238E27FC236}">
                <a16:creationId xmlns:a16="http://schemas.microsoft.com/office/drawing/2014/main" id="{5DE43561-6372-478E-852E-DE84EB7865FB}"/>
              </a:ext>
            </a:extLst>
          </xdr:cNvPr>
          <xdr:cNvSpPr/>
        </xdr:nvSpPr>
        <xdr:spPr>
          <a:xfrm>
            <a:off x="2692400" y="2444750"/>
            <a:ext cx="8470900" cy="2190750"/>
          </a:xfrm>
          <a:prstGeom prst="roundRect">
            <a:avLst>
              <a:gd name="adj" fmla="val 6600"/>
            </a:avLst>
          </a:prstGeom>
          <a:solidFill>
            <a:srgbClr val="FFF52D">
              <a:alpha val="40000"/>
            </a:srgbClr>
          </a:solidFill>
          <a:ln>
            <a:solidFill>
              <a:srgbClr val="FFD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67DA6FE0-BA04-47C6-A5BA-A9CE9FF8AADF}"/>
              </a:ext>
            </a:extLst>
          </xdr:cNvPr>
          <xdr:cNvGraphicFramePr>
            <a:graphicFrameLocks/>
          </xdr:cNvGraphicFramePr>
        </xdr:nvGraphicFramePr>
        <xdr:xfrm>
          <a:off x="2768600" y="2489200"/>
          <a:ext cx="8267700" cy="20955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20</xdr:col>
      <xdr:colOff>468095</xdr:colOff>
      <xdr:row>3</xdr:row>
      <xdr:rowOff>112486</xdr:rowOff>
    </xdr:from>
    <xdr:to>
      <xdr:col>24</xdr:col>
      <xdr:colOff>441695</xdr:colOff>
      <xdr:row>8</xdr:row>
      <xdr:rowOff>177800</xdr:rowOff>
    </xdr:to>
    <xdr:grpSp>
      <xdr:nvGrpSpPr>
        <xdr:cNvPr id="31" name="Group 30">
          <a:extLst>
            <a:ext uri="{FF2B5EF4-FFF2-40B4-BE49-F238E27FC236}">
              <a16:creationId xmlns:a16="http://schemas.microsoft.com/office/drawing/2014/main" id="{27A9AABD-9A27-7ECA-A6CE-47C4EE4096D9}"/>
            </a:ext>
          </a:extLst>
        </xdr:cNvPr>
        <xdr:cNvGrpSpPr/>
      </xdr:nvGrpSpPr>
      <xdr:grpSpPr>
        <a:xfrm>
          <a:off x="12660095" y="811733"/>
          <a:ext cx="2412000" cy="1230726"/>
          <a:chOff x="12723595" y="798286"/>
          <a:chExt cx="2412000" cy="1208314"/>
        </a:xfrm>
      </xdr:grpSpPr>
      <xdr:sp macro="" textlink="Sheet4!C16">
        <xdr:nvSpPr>
          <xdr:cNvPr id="29" name="Rectangle: Rounded Corners 28">
            <a:extLst>
              <a:ext uri="{FF2B5EF4-FFF2-40B4-BE49-F238E27FC236}">
                <a16:creationId xmlns:a16="http://schemas.microsoft.com/office/drawing/2014/main" id="{8C4E3235-BF92-4238-BE8B-76B02C1396AB}"/>
              </a:ext>
            </a:extLst>
          </xdr:cNvPr>
          <xdr:cNvSpPr/>
        </xdr:nvSpPr>
        <xdr:spPr>
          <a:xfrm>
            <a:off x="12723595" y="798286"/>
            <a:ext cx="2412000" cy="1208314"/>
          </a:xfrm>
          <a:prstGeom prst="roundRect">
            <a:avLst/>
          </a:prstGeom>
          <a:gradFill flip="none" rotWithShape="1">
            <a:gsLst>
              <a:gs pos="0">
                <a:srgbClr val="FFC000">
                  <a:tint val="66000"/>
                  <a:satMod val="160000"/>
                </a:srgbClr>
              </a:gs>
              <a:gs pos="50000">
                <a:srgbClr val="FFC000">
                  <a:tint val="44500"/>
                  <a:satMod val="160000"/>
                </a:srgbClr>
              </a:gs>
              <a:gs pos="100000">
                <a:srgbClr val="FFC000">
                  <a:tint val="23500"/>
                  <a:satMod val="160000"/>
                </a:srgbClr>
              </a:gs>
            </a:gsLst>
            <a:lin ang="0" scaled="1"/>
            <a:tileRect/>
          </a:gra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F78552CB-F391-477A-921F-E9A46AB4F8AA}" type="TxLink">
              <a:rPr lang="en-US"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rPr>
              <a:pPr marL="0" indent="0" algn="ctr"/>
              <a:t> ₹ 5,178.00 </a:t>
            </a:fld>
            <a:endParaRPr lang="en-US" sz="2800" b="0" i="0" u="none" strike="noStrike">
              <a:solidFill>
                <a:schemeClr val="tx2">
                  <a:lumMod val="90000"/>
                  <a:lumOff val="10000"/>
                </a:schemeClr>
              </a:solidFill>
              <a:latin typeface="Aharoni" panose="02010803020104030203" pitchFamily="2" charset="-79"/>
              <a:ea typeface="+mn-ea"/>
              <a:cs typeface="Aharoni" panose="02010803020104030203" pitchFamily="2" charset="-79"/>
            </a:endParaRPr>
          </a:p>
        </xdr:txBody>
      </xdr:sp>
      <xdr:sp macro="" textlink="">
        <xdr:nvSpPr>
          <xdr:cNvPr id="30" name="TextBox 29">
            <a:extLst>
              <a:ext uri="{FF2B5EF4-FFF2-40B4-BE49-F238E27FC236}">
                <a16:creationId xmlns:a16="http://schemas.microsoft.com/office/drawing/2014/main" id="{5A31DC7B-4301-42B3-B378-31F40CE07918}"/>
              </a:ext>
            </a:extLst>
          </xdr:cNvPr>
          <xdr:cNvSpPr txBox="1"/>
        </xdr:nvSpPr>
        <xdr:spPr>
          <a:xfrm>
            <a:off x="12724315" y="937985"/>
            <a:ext cx="2408414" cy="395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tx2">
                    <a:lumMod val="90000"/>
                    <a:lumOff val="10000"/>
                  </a:schemeClr>
                </a:solidFill>
                <a:latin typeface="Aharoni" panose="02010803020104030203" pitchFamily="2" charset="-79"/>
                <a:ea typeface="+mn-ea"/>
                <a:cs typeface="Aharoni" panose="02010803020104030203" pitchFamily="2" charset="-79"/>
              </a:rPr>
              <a:t>AVG ORDER VALUE</a:t>
            </a:r>
          </a:p>
        </xdr:txBody>
      </xdr:sp>
    </xdr:grpSp>
    <xdr:clientData/>
  </xdr:twoCellAnchor>
  <xdr:twoCellAnchor>
    <xdr:from>
      <xdr:col>4</xdr:col>
      <xdr:colOff>101600</xdr:colOff>
      <xdr:row>19</xdr:row>
      <xdr:rowOff>209550</xdr:rowOff>
    </xdr:from>
    <xdr:to>
      <xdr:col>24</xdr:col>
      <xdr:colOff>469900</xdr:colOff>
      <xdr:row>32</xdr:row>
      <xdr:rowOff>127000</xdr:rowOff>
    </xdr:to>
    <xdr:sp macro="" textlink="">
      <xdr:nvSpPr>
        <xdr:cNvPr id="24" name="Rectangle: Rounded Corners 23">
          <a:extLst>
            <a:ext uri="{FF2B5EF4-FFF2-40B4-BE49-F238E27FC236}">
              <a16:creationId xmlns:a16="http://schemas.microsoft.com/office/drawing/2014/main" id="{7C7CA75A-FAD9-4DC9-8C31-D153013E7F63}"/>
            </a:ext>
          </a:extLst>
        </xdr:cNvPr>
        <xdr:cNvSpPr/>
      </xdr:nvSpPr>
      <xdr:spPr>
        <a:xfrm>
          <a:off x="2540000" y="4552950"/>
          <a:ext cx="12560300" cy="2889250"/>
        </a:xfrm>
        <a:prstGeom prst="roundRect">
          <a:avLst>
            <a:gd name="adj" fmla="val 6600"/>
          </a:avLst>
        </a:prstGeom>
        <a:solidFill>
          <a:srgbClr val="FFF52D">
            <a:alpha val="40000"/>
          </a:srgbClr>
        </a:solidFill>
        <a:ln>
          <a:solidFill>
            <a:srgbClr val="FFD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241300</xdr:colOff>
      <xdr:row>20</xdr:row>
      <xdr:rowOff>25400</xdr:rowOff>
    </xdr:from>
    <xdr:to>
      <xdr:col>24</xdr:col>
      <xdr:colOff>304800</xdr:colOff>
      <xdr:row>32</xdr:row>
      <xdr:rowOff>114300</xdr:rowOff>
    </xdr:to>
    <xdr:graphicFrame macro="">
      <xdr:nvGraphicFramePr>
        <xdr:cNvPr id="32" name="Chart 31">
          <a:extLst>
            <a:ext uri="{FF2B5EF4-FFF2-40B4-BE49-F238E27FC236}">
              <a16:creationId xmlns:a16="http://schemas.microsoft.com/office/drawing/2014/main" id="{4122EF89-AB18-488A-8449-E8FAE7614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68367395833" createdVersion="8" refreshedVersion="8" minRefreshableVersion="3" recordCount="1194" xr:uid="{9E5758EF-A492-486C-A00B-768A90E28B43}">
  <cacheSource type="worksheet">
    <worksheetSource name="Sales_Table"/>
  </cacheSource>
  <cacheFields count="16">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Revenue" numFmtId="0">
      <sharedItems containsSemiMixedTypes="0" containsString="0" containsNumber="1" containsInteger="1" minValue="508" maxValue="9992" count="773">
        <n v="9726"/>
        <n v="4975"/>
        <n v="1525"/>
        <n v="883"/>
        <n v="8127"/>
        <n v="2516"/>
        <n v="2975"/>
        <n v="6851"/>
        <n v="7626"/>
        <n v="1023"/>
        <n v="7600"/>
        <n v="7501"/>
        <n v="725"/>
        <n v="7201"/>
        <n v="1629"/>
        <n v="8971"/>
        <n v="2939"/>
        <n v="9380"/>
        <n v="8558"/>
        <n v="4080"/>
        <n v="4206"/>
        <n v="5219"/>
        <n v="3686"/>
        <n v="6045"/>
        <n v="9337"/>
        <n v="4051"/>
        <n v="5011"/>
        <n v="3958"/>
        <n v="3132"/>
        <n v="7784"/>
        <n v="5591"/>
        <n v="5122"/>
        <n v="8293"/>
        <n v="2863"/>
        <n v="3090"/>
        <n v="9683"/>
        <n v="2463"/>
        <n v="7811"/>
        <n v="6139"/>
        <n v="8636"/>
        <n v="4439"/>
        <n v="1016"/>
        <n v="5768"/>
        <n v="1217"/>
        <n v="953"/>
        <n v="7355"/>
        <n v="1843"/>
        <n v="1603"/>
        <n v="2025"/>
        <n v="6800"/>
        <n v="1126"/>
        <n v="7533"/>
        <n v="4734"/>
        <n v="4074"/>
        <n v="2334"/>
        <n v="2750"/>
        <n v="8639"/>
        <n v="3808"/>
        <n v="2588"/>
        <n v="1591"/>
        <n v="1757"/>
        <n v="6940"/>
        <n v="5105"/>
        <n v="5578"/>
        <n v="5224"/>
        <n v="5002"/>
        <n v="7380"/>
        <n v="7595"/>
        <n v="1954"/>
        <n v="523"/>
        <n v="5704"/>
        <n v="8797"/>
        <n v="9236"/>
        <n v="9109"/>
        <n v="4358"/>
        <n v="6459"/>
        <n v="2478"/>
        <n v="9992"/>
        <n v="9619"/>
        <n v="9538"/>
        <n v="9035"/>
        <n v="2684"/>
        <n v="822"/>
        <n v="9730"/>
        <n v="2483"/>
        <n v="1297"/>
        <n v="7909"/>
        <n v="9768"/>
        <n v="4968"/>
        <n v="1731"/>
        <n v="3433"/>
        <n v="3887"/>
        <n v="1801"/>
        <n v="5301"/>
        <n v="1166"/>
        <n v="3196"/>
        <n v="3428"/>
        <n v="7223"/>
        <n v="3731"/>
        <n v="8903"/>
        <n v="6009"/>
        <n v="2858"/>
        <n v="8175"/>
        <n v="5846"/>
        <n v="706"/>
        <n v="9835"/>
        <n v="9691"/>
        <n v="7826"/>
        <n v="770"/>
        <n v="9895"/>
        <n v="6517"/>
        <n v="9820"/>
        <n v="8563"/>
        <n v="4441"/>
        <n v="7340"/>
        <n v="5442"/>
        <n v="1895"/>
        <n v="5323"/>
        <n v="8850"/>
        <n v="8667"/>
        <n v="6903"/>
        <n v="8793"/>
        <n v="9883"/>
        <n v="5210"/>
        <n v="3574"/>
        <n v="576"/>
        <n v="1860"/>
        <n v="782"/>
        <n v="4371"/>
        <n v="8346"/>
        <n v="6218"/>
        <n v="5167"/>
        <n v="2799"/>
        <n v="3234"/>
        <n v="4920"/>
        <n v="9078"/>
        <n v="8586"/>
        <n v="5047"/>
        <n v="3657"/>
        <n v="6471"/>
        <n v="949"/>
        <n v="6823"/>
        <n v="4364"/>
        <n v="6671"/>
        <n v="7472"/>
        <n v="9548"/>
        <n v="7759"/>
        <n v="7521"/>
        <n v="9704"/>
        <n v="4948"/>
        <n v="6435"/>
        <n v="9965"/>
        <n v="1523"/>
        <n v="9073"/>
        <n v="6447"/>
        <n v="8947"/>
        <n v="914"/>
        <n v="1548"/>
        <n v="2759"/>
        <n v="1341"/>
        <n v="9851"/>
        <n v="9989"/>
        <n v="7421"/>
        <n v="3099"/>
        <n v="2521"/>
        <n v="6962"/>
        <n v="1085"/>
        <n v="738"/>
        <n v="1366"/>
        <n v="1518"/>
        <n v="2962"/>
        <n v="7131"/>
        <n v="4200"/>
        <n v="5934"/>
        <n v="2701"/>
        <n v="7273"/>
        <n v="2465"/>
        <n v="3479"/>
        <n v="5457"/>
        <n v="4957"/>
        <n v="4404"/>
        <n v="8776"/>
        <n v="9536"/>
        <n v="2225"/>
        <n v="9574"/>
        <n v="4382"/>
        <n v="8200"/>
        <n v="9316"/>
        <n v="6379"/>
        <n v="3348"/>
        <n v="8856"/>
        <n v="1760"/>
        <n v="6351"/>
        <n v="869"/>
        <n v="1486"/>
        <n v="2999"/>
        <n v="5142"/>
        <n v="1239"/>
        <n v="1262"/>
        <n v="1033"/>
        <n v="8581"/>
        <n v="1167"/>
        <n v="2841"/>
        <n v="5680"/>
        <n v="8204"/>
        <n v="2850"/>
        <n v="907"/>
        <n v="2174"/>
        <n v="8541"/>
        <n v="1931"/>
        <n v="1281"/>
        <n v="2404"/>
        <n v="2119"/>
        <n v="3137"/>
        <n v="2323"/>
        <n v="1368"/>
        <n v="9204"/>
        <n v="9894"/>
        <n v="5322"/>
        <n v="2666"/>
        <n v="8383"/>
        <n v="7560"/>
        <n v="1314"/>
        <n v="4390"/>
        <n v="1150"/>
        <n v="1574"/>
        <n v="5635"/>
        <n v="6515"/>
        <n v="1231"/>
        <n v="6891"/>
        <n v="7524"/>
        <n v="6864"/>
        <n v="4215"/>
        <n v="622"/>
        <n v="1755"/>
        <n v="8020"/>
        <n v="7333"/>
        <n v="7690"/>
        <n v="912"/>
        <n v="2791"/>
        <n v="6223"/>
        <n v="8943"/>
        <n v="3297"/>
        <n v="8769"/>
        <n v="9057"/>
        <n v="9200"/>
        <n v="6113"/>
        <n v="7733"/>
        <n v="8524"/>
        <n v="6187"/>
        <n v="736"/>
        <n v="9905"/>
        <n v="2493"/>
        <n v="9849"/>
        <n v="3423"/>
        <n v="3900"/>
        <n v="8568"/>
        <n v="3283"/>
        <n v="7643"/>
        <n v="3461"/>
        <n v="5714"/>
        <n v="3853"/>
        <n v="6016"/>
        <n v="1290"/>
        <n v="4569"/>
        <n v="3083"/>
        <n v="3522"/>
        <n v="7301"/>
        <n v="4462"/>
        <n v="6212"/>
        <n v="4027"/>
        <n v="1676"/>
        <n v="3927"/>
        <n v="2776"/>
        <n v="7684"/>
        <n v="6008"/>
        <n v="7344"/>
        <n v="6932"/>
        <n v="7748"/>
        <n v="6381"/>
        <n v="992"/>
        <n v="8649"/>
        <n v="4099"/>
        <n v="2539"/>
        <n v="9845"/>
        <n v="2901"/>
        <n v="6934"/>
        <n v="9640"/>
        <n v="7930"/>
        <n v="4534"/>
        <n v="4911"/>
        <n v="531"/>
        <n v="9707"/>
        <n v="8521"/>
        <n v="8438"/>
        <n v="1689"/>
        <n v="3936"/>
        <n v="7664"/>
        <n v="721"/>
        <n v="8364"/>
        <n v="5234"/>
        <n v="3944"/>
        <n v="6711"/>
        <n v="5031"/>
        <n v="6295"/>
        <n v="9654"/>
        <n v="3112"/>
        <n v="7838"/>
        <n v="9300"/>
        <n v="1733"/>
        <n v="874"/>
        <n v="1248"/>
        <n v="3669"/>
        <n v="514"/>
        <n v="3273"/>
        <n v="5035"/>
        <n v="7702"/>
        <n v="9884"/>
        <n v="5564"/>
        <n v="3953"/>
        <n v="6488"/>
        <n v="7856"/>
        <n v="1165"/>
        <n v="9386"/>
        <n v="3956"/>
        <n v="6449"/>
        <n v="6255"/>
        <n v="2109"/>
        <n v="6707"/>
        <n v="7633"/>
        <n v="975"/>
        <n v="4492"/>
        <n v="7957"/>
        <n v="4906"/>
        <n v="1379"/>
        <n v="4244"/>
        <n v="5911"/>
        <n v="1818"/>
        <n v="2140"/>
        <n v="2670"/>
        <n v="1108"/>
        <n v="9776"/>
        <n v="535"/>
        <n v="7564"/>
        <n v="3409"/>
        <n v="9751"/>
        <n v="6385"/>
        <n v="6355"/>
        <n v="7377"/>
        <n v="2054"/>
        <n v="7497"/>
        <n v="2565"/>
        <n v="5024"/>
        <n v="8243"/>
        <n v="7792"/>
        <n v="2346"/>
        <n v="7346"/>
        <n v="9770"/>
        <n v="7179"/>
        <n v="5449"/>
        <n v="2895"/>
        <n v="697"/>
        <n v="6145"/>
        <n v="2504"/>
        <n v="3124"/>
        <n v="4202"/>
        <n v="2239"/>
        <n v="2450"/>
        <n v="9827"/>
        <n v="8077"/>
        <n v="5152"/>
        <n v="2542"/>
        <n v="8102"/>
        <n v="6200"/>
        <n v="4470"/>
        <n v="916"/>
        <n v="7846"/>
        <n v="3022"/>
        <n v="5266"/>
        <n v="4853"/>
        <n v="9832"/>
        <n v="796"/>
        <n v="4539"/>
        <n v="9659"/>
        <n v="9562"/>
        <n v="4688"/>
        <n v="7900"/>
        <n v="6967"/>
        <n v="1091"/>
        <n v="6027"/>
        <n v="4852"/>
        <n v="4314"/>
        <n v="3288"/>
        <n v="3977"/>
        <n v="6252"/>
        <n v="9084"/>
        <n v="8994"/>
        <n v="1089"/>
        <n v="6690"/>
        <n v="4985"/>
        <n v="8590"/>
        <n v="6973"/>
        <n v="4591"/>
        <n v="9612"/>
        <n v="5343"/>
        <n v="6956"/>
        <n v="5306"/>
        <n v="8982"/>
        <n v="4826"/>
        <n v="972"/>
        <n v="3665"/>
        <n v="9808"/>
        <n v="1133"/>
        <n v="6248"/>
        <n v="5666"/>
        <n v="4171"/>
        <n v="6236"/>
        <n v="5410"/>
        <n v="3024"/>
        <n v="7434"/>
        <n v="7213"/>
        <n v="3176"/>
        <n v="9144"/>
        <n v="4146"/>
        <n v="3793"/>
        <n v="7169"/>
        <n v="4046"/>
        <n v="4164"/>
        <n v="5389"/>
        <n v="5448"/>
        <n v="4115"/>
        <n v="4761"/>
        <n v="5899"/>
        <n v="6109"/>
        <n v="4628"/>
        <n v="4369"/>
        <n v="5632"/>
        <n v="7519"/>
        <n v="1564"/>
        <n v="2804"/>
        <n v="2321"/>
        <n v="5730"/>
        <n v="7441"/>
        <n v="1732"/>
        <n v="8788"/>
        <n v="838"/>
        <n v="3577"/>
        <n v="7122"/>
        <n v="7327"/>
        <n v="4932"/>
        <n v="4609"/>
        <n v="2328"/>
        <n v="1388"/>
        <n v="8555"/>
        <n v="9024"/>
        <n v="2468"/>
        <n v="9438"/>
        <n v="2685"/>
        <n v="9916"/>
        <n v="6184"/>
        <n v="4548"/>
        <n v="7195"/>
        <n v="3098"/>
        <n v="5412"/>
        <n v="1397"/>
        <n v="9279"/>
        <n v="2596"/>
        <n v="6732"/>
        <n v="4495"/>
        <n v="9653"/>
        <n v="8945"/>
        <n v="4007"/>
        <n v="810"/>
        <n v="9789"/>
        <n v="9229"/>
        <n v="8141"/>
        <n v="1067"/>
        <n v="3839"/>
        <n v="2137"/>
        <n v="2831"/>
        <n v="3913"/>
        <n v="4468"/>
        <n v="1579"/>
        <n v="3760"/>
        <n v="8706"/>
        <n v="4708"/>
        <n v="8089"/>
        <n v="5462"/>
        <n v="6392"/>
        <n v="2349"/>
        <n v="8220"/>
        <n v="2379"/>
        <n v="717"/>
        <n v="508"/>
        <n v="9382"/>
        <n v="4936"/>
        <n v="2663"/>
        <n v="5151"/>
        <n v="2514"/>
        <n v="6129"/>
        <n v="4395"/>
        <n v="5393"/>
        <n v="2280"/>
        <n v="6596"/>
        <n v="4510"/>
        <n v="6077"/>
        <n v="5379"/>
        <n v="4629"/>
        <n v="2710"/>
        <n v="3224"/>
        <n v="8042"/>
        <n v="3957"/>
        <n v="2957"/>
        <n v="5344"/>
        <n v="6061"/>
        <n v="5376"/>
        <n v="2792"/>
        <n v="2944"/>
        <n v="4220"/>
        <n v="8526"/>
        <n v="8218"/>
        <n v="599"/>
        <n v="2727"/>
        <n v="2589"/>
        <n v="3776"/>
        <n v="5402"/>
        <n v="5165"/>
        <n v="4863"/>
        <n v="1626"/>
        <n v="8851"/>
        <n v="9680"/>
        <n v="8468"/>
        <n v="6622"/>
        <n v="3260"/>
        <n v="8709"/>
        <n v="5250"/>
        <n v="4116"/>
        <n v="1109"/>
        <n v="3573"/>
        <n v="8055"/>
        <n v="6829"/>
        <n v="6390"/>
        <n v="5831"/>
        <n v="7952"/>
        <n v="3659"/>
        <n v="4183"/>
        <n v="7478"/>
        <n v="702"/>
        <n v="4037"/>
        <n v="5014"/>
        <n v="9879"/>
        <n v="8762"/>
        <n v="8490"/>
        <n v="6951"/>
        <n v="1078"/>
        <n v="8560"/>
        <n v="1031"/>
        <n v="6402"/>
        <n v="5916"/>
        <n v="4015"/>
        <n v="9335"/>
        <n v="4706"/>
        <n v="6584"/>
        <n v="6389"/>
        <n v="9869"/>
        <n v="655"/>
        <n v="798"/>
        <n v="7967"/>
        <n v="3756"/>
        <n v="5196"/>
        <n v="6586"/>
        <n v="6673"/>
        <n v="714"/>
        <n v="1083"/>
        <n v="2401"/>
        <n v="1045"/>
        <n v="7806"/>
        <n v="5263"/>
        <n v="6147"/>
        <n v="7484"/>
        <n v="7700"/>
        <n v="8537"/>
        <n v="8858"/>
        <n v="5313"/>
        <n v="3281"/>
        <n v="8681"/>
        <n v="6195"/>
        <n v="3877"/>
        <n v="9369"/>
        <n v="8680"/>
        <n v="3067"/>
        <n v="9002"/>
        <n v="7105"/>
        <n v="5317"/>
        <n v="6304"/>
        <n v="9565"/>
        <n v="8245"/>
        <n v="1592"/>
        <n v="8400"/>
        <n v="4963"/>
        <n v="2472"/>
        <n v="9132"/>
        <n v="8305"/>
        <n v="1010"/>
        <n v="4544"/>
        <n v="5900"/>
        <n v="8861"/>
        <n v="8158"/>
        <n v="3411"/>
        <n v="9406"/>
        <n v="1156"/>
        <n v="5354"/>
        <n v="8780"/>
        <n v="6783"/>
        <n v="1778"/>
        <n v="9399"/>
        <n v="1638"/>
        <n v="1786"/>
        <n v="4751"/>
        <n v="8979"/>
        <n v="1093"/>
        <n v="2636"/>
        <n v="7306"/>
        <n v="5832"/>
        <n v="8572"/>
        <n v="8059"/>
        <n v="3661"/>
        <n v="2451"/>
        <n v="7067"/>
        <n v="4307"/>
        <n v="5694"/>
        <n v="962"/>
        <n v="2995"/>
        <n v="2047"/>
        <n v="2078"/>
        <n v="2737"/>
        <n v="8194"/>
        <n v="9914"/>
        <n v="5470"/>
        <n v="1496"/>
        <n v="3228"/>
        <n v="3918"/>
        <n v="9921"/>
        <n v="9694"/>
        <n v="5028"/>
        <n v="594"/>
        <n v="5954"/>
        <n v="3518"/>
        <n v="4157"/>
        <n v="3747"/>
        <n v="3194"/>
        <n v="8548"/>
        <n v="6089"/>
        <n v="2586"/>
        <n v="3757"/>
        <n v="5193"/>
        <n v="7493"/>
        <n v="2062"/>
        <n v="7163"/>
        <n v="4026"/>
        <n v="1894"/>
        <n v="7144"/>
        <n v="3482"/>
        <n v="4172"/>
        <n v="6265"/>
        <n v="2931"/>
        <n v="1146"/>
        <n v="9215"/>
        <n v="7895"/>
        <n v="2740"/>
        <n v="5338"/>
        <n v="3095"/>
        <n v="6017"/>
        <n v="4904"/>
        <n v="3080"/>
        <n v="1992"/>
        <n v="5346"/>
        <n v="8422"/>
        <n v="6105"/>
        <n v="670"/>
        <n v="4057"/>
        <n v="8178"/>
        <n v="8752"/>
        <n v="8974"/>
        <n v="9090"/>
        <n v="851"/>
        <n v="5427"/>
        <n v="2695"/>
        <n v="2386"/>
        <n v="2284"/>
        <n v="6034"/>
        <n v="8956"/>
        <n v="9775"/>
        <n v="3309"/>
        <n v="4163"/>
        <n v="5518"/>
        <n v="7566"/>
        <n v="762"/>
        <n v="3316"/>
        <n v="5994"/>
        <n v="3854"/>
        <n v="7019"/>
        <n v="9752"/>
        <n v="5335"/>
        <n v="1454"/>
        <n v="6724"/>
        <n v="9874"/>
        <n v="4918"/>
        <n v="3189"/>
        <n v="6669"/>
        <n v="6123"/>
        <n v="3265"/>
        <n v="8104"/>
        <n v="847"/>
        <n v="3129"/>
        <n v="7821"/>
        <n v="9498"/>
        <n v="5461"/>
        <n v="3084"/>
        <n v="6087"/>
        <n v="611"/>
        <n v="9909"/>
        <n v="6485"/>
        <n v="7259"/>
        <n v="3333"/>
        <n v="7786"/>
        <n v="7644"/>
        <n v="1476"/>
        <n v="3445"/>
        <n v="9837"/>
        <n v="5951"/>
        <n v="4699"/>
        <n v="5557"/>
        <n v="3436"/>
        <n v="9840"/>
        <n v="7620"/>
        <n v="544"/>
        <n v="537"/>
        <n v="5944"/>
        <n v="2258"/>
        <n v="9609"/>
        <n v="9952"/>
        <n v="9873"/>
        <n v="3560"/>
        <n v="6528"/>
        <n v="8930"/>
        <n v="4521"/>
        <n v="7091"/>
        <n v="2101"/>
        <n v="8644"/>
        <n v="6672"/>
        <n v="4897"/>
        <n v="5460"/>
        <n v="9272"/>
        <n v="7870"/>
        <n v="7992"/>
        <n v="6499"/>
        <n v="8848"/>
        <n v="8044"/>
        <n v="7417"/>
        <n v="3451"/>
        <n v="8531"/>
        <n v="6646"/>
        <n v="2553"/>
        <n v="2689"/>
        <n v="815"/>
        <n v="8962"/>
        <n v="1961"/>
        <n v="526"/>
        <n v="6093"/>
        <n v="7699"/>
        <n v="8825"/>
        <n v="2082"/>
      </sharedItems>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Products" numFmtId="0">
      <sharedItems count="12">
        <s v="Electronic Games"/>
        <s v="Printers"/>
        <s v="Pens"/>
        <s v="Laptops"/>
        <s v="Tables"/>
        <s v="Chairs"/>
        <s v="Markers"/>
        <s v="Sofas"/>
        <s v="Paper"/>
        <s v="Binders"/>
        <s v="Phones"/>
        <s v="Bookcases"/>
      </sharedItems>
    </cacheField>
    <cacheField name="PaymentMode" numFmtId="0">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4"/>
    </cacheField>
    <cacheField name="CustomerName" numFmtId="0">
      <sharedItems/>
    </cacheField>
    <cacheField name="State" numFmtId="0">
      <sharedItems count="6">
        <s v="Florida"/>
        <s v="Illinois"/>
        <s v="New York"/>
        <s v="California"/>
        <s v="Texas"/>
        <s v="Ohio"/>
      </sharedItems>
    </cacheField>
    <cacheField name="City" numFmtId="0">
      <sharedItems/>
    </cacheField>
    <cacheField name="Profit Margin %" numFmtId="164">
      <sharedItems containsSemiMixedTypes="0" containsString="0" containsNumber="1" minValue="2" maxValue="128.36666666666667"/>
    </cacheField>
    <cacheField name="Months (Order Date)" numFmtId="0" databaseField="0">
      <fieldGroup base="7">
        <rangePr groupBy="months" startDate="2020-03-22T00:00:00" endDate="2025-03-16T00:00:00"/>
        <groupItems count="14">
          <s v="&lt;22-03-2020"/>
          <s v="Jan"/>
          <s v="Feb"/>
          <s v="Mar"/>
          <s v="Apr"/>
          <s v="May"/>
          <s v="Jun"/>
          <s v="Jul"/>
          <s v="Aug"/>
          <s v="Sep"/>
          <s v="Oct"/>
          <s v="Nov"/>
          <s v="Dec"/>
          <s v="&gt;16-03-2025"/>
        </groupItems>
      </fieldGroup>
    </cacheField>
    <cacheField name="Quarters (Order Date)" numFmtId="0" databaseField="0">
      <fieldGroup base="7">
        <rangePr groupBy="quarters" startDate="2020-03-22T00:00:00" endDate="2025-03-16T00:00:00"/>
        <groupItems count="6">
          <s v="&lt;22-03-2020"/>
          <s v="Qtr1"/>
          <s v="Qtr2"/>
          <s v="Qtr3"/>
          <s v="Qtr4"/>
          <s v="&gt;16-03-2025"/>
        </groupItems>
      </fieldGroup>
    </cacheField>
    <cacheField name="Years (Order Date)" numFmtId="0" databaseField="0">
      <fieldGroup base="7">
        <rangePr groupBy="years" startDate="2020-03-22T00:00:00" endDate="2025-03-16T00:00:00"/>
        <groupItems count="8">
          <s v="&lt;22-03-2020"/>
          <s v="2020"/>
          <s v="2021"/>
          <s v="2022"/>
          <s v="2023"/>
          <s v="2024"/>
          <s v="2025"/>
          <s v="&gt;16-03-2025"/>
        </groupItems>
      </fieldGroup>
    </cacheField>
    <cacheField name="Revenue + Profit" numFmtId="0" formula="Revenue+Profit" databaseField="0"/>
  </cacheFields>
  <extLst>
    <ext xmlns:x14="http://schemas.microsoft.com/office/spreadsheetml/2009/9/main" uri="{725AE2AE-9491-48be-B2B4-4EB974FC3084}">
      <x14:pivotCacheDefinition pivotCacheId="1099858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x v="0"/>
    <n v="1275"/>
    <n v="5"/>
    <x v="0"/>
    <x v="0"/>
    <s v="UPI"/>
    <x v="0"/>
    <s v="David Padilla"/>
    <x v="0"/>
    <s v="Miami"/>
    <n v="7.6282352941176468"/>
  </r>
  <r>
    <x v="0"/>
    <x v="0"/>
    <n v="1275"/>
    <n v="5"/>
    <x v="0"/>
    <x v="0"/>
    <s v="UPI"/>
    <x v="1"/>
    <s v="Connor Morgan"/>
    <x v="1"/>
    <s v="Chicago"/>
    <n v="7.6282352941176468"/>
  </r>
  <r>
    <x v="0"/>
    <x v="0"/>
    <n v="1275"/>
    <n v="5"/>
    <x v="0"/>
    <x v="0"/>
    <s v="UPI"/>
    <x v="2"/>
    <s v="Robert Stone"/>
    <x v="2"/>
    <s v="Buffalo"/>
    <n v="7.6282352941176468"/>
  </r>
  <r>
    <x v="0"/>
    <x v="1"/>
    <n v="1330"/>
    <n v="14"/>
    <x v="0"/>
    <x v="1"/>
    <s v="UPI"/>
    <x v="0"/>
    <s v="David Padilla"/>
    <x v="0"/>
    <s v="Miami"/>
    <n v="3.7406015037593985"/>
  </r>
  <r>
    <x v="0"/>
    <x v="1"/>
    <n v="1330"/>
    <n v="14"/>
    <x v="0"/>
    <x v="1"/>
    <s v="UPI"/>
    <x v="1"/>
    <s v="Connor Morgan"/>
    <x v="1"/>
    <s v="Chicago"/>
    <n v="3.7406015037593985"/>
  </r>
  <r>
    <x v="0"/>
    <x v="1"/>
    <n v="1330"/>
    <n v="14"/>
    <x v="0"/>
    <x v="1"/>
    <s v="UPI"/>
    <x v="2"/>
    <s v="Robert Stone"/>
    <x v="2"/>
    <s v="Buffalo"/>
    <n v="3.7406015037593985"/>
  </r>
  <r>
    <x v="1"/>
    <x v="2"/>
    <n v="185"/>
    <n v="12"/>
    <x v="1"/>
    <x v="2"/>
    <s v="Debit Card"/>
    <x v="3"/>
    <s v="John Fields"/>
    <x v="0"/>
    <s v="Orlando"/>
    <n v="8.2432432432432439"/>
  </r>
  <r>
    <x v="1"/>
    <x v="2"/>
    <n v="185"/>
    <n v="12"/>
    <x v="1"/>
    <x v="2"/>
    <s v="Debit Card"/>
    <x v="4"/>
    <s v="Clayton Smith"/>
    <x v="0"/>
    <s v="Miami"/>
    <n v="8.2432432432432439"/>
  </r>
  <r>
    <x v="2"/>
    <x v="3"/>
    <n v="117"/>
    <n v="10"/>
    <x v="0"/>
    <x v="3"/>
    <s v="EMI"/>
    <x v="5"/>
    <s v="Richard Kelley"/>
    <x v="3"/>
    <s v="Los Angeles"/>
    <n v="7.5470085470085468"/>
  </r>
  <r>
    <x v="2"/>
    <x v="4"/>
    <n v="3551"/>
    <n v="16"/>
    <x v="2"/>
    <x v="4"/>
    <s v="Credit Card"/>
    <x v="5"/>
    <s v="Richard Kelley"/>
    <x v="3"/>
    <s v="Los Angeles"/>
    <n v="2.2886510842016334"/>
  </r>
  <r>
    <x v="3"/>
    <x v="5"/>
    <n v="734"/>
    <n v="19"/>
    <x v="2"/>
    <x v="5"/>
    <s v="UPI"/>
    <x v="6"/>
    <s v="Jacqueline Hubbard"/>
    <x v="2"/>
    <s v="New York City"/>
    <n v="3.4277929155313354"/>
  </r>
  <r>
    <x v="4"/>
    <x v="6"/>
    <n v="462"/>
    <n v="14"/>
    <x v="1"/>
    <x v="2"/>
    <s v="Credit Card"/>
    <x v="7"/>
    <s v="Jessica Anderson"/>
    <x v="2"/>
    <s v="New York City"/>
    <n v="6.4393939393939394"/>
  </r>
  <r>
    <x v="5"/>
    <x v="7"/>
    <n v="2812"/>
    <n v="1"/>
    <x v="1"/>
    <x v="6"/>
    <s v="Debit Card"/>
    <x v="8"/>
    <s v="Mary Taylor"/>
    <x v="0"/>
    <s v="Orlando"/>
    <n v="2.4363442389758179"/>
  </r>
  <r>
    <x v="5"/>
    <x v="8"/>
    <n v="1046"/>
    <n v="15"/>
    <x v="2"/>
    <x v="7"/>
    <s v="Credit Card"/>
    <x v="8"/>
    <s v="Mary Taylor"/>
    <x v="0"/>
    <s v="Orlando"/>
    <n v="7.2906309751434035"/>
  </r>
  <r>
    <x v="5"/>
    <x v="9"/>
    <n v="78"/>
    <n v="9"/>
    <x v="2"/>
    <x v="4"/>
    <s v="UPI"/>
    <x v="8"/>
    <s v="Mary Taylor"/>
    <x v="0"/>
    <s v="Orlando"/>
    <n v="13.115384615384615"/>
  </r>
  <r>
    <x v="6"/>
    <x v="10"/>
    <n v="1098"/>
    <n v="10"/>
    <x v="1"/>
    <x v="2"/>
    <s v="UPI"/>
    <x v="9"/>
    <s v="Walter Crawford"/>
    <x v="1"/>
    <s v="Springfield"/>
    <n v="6.9216757741347905"/>
  </r>
  <r>
    <x v="6"/>
    <x v="11"/>
    <n v="262"/>
    <n v="18"/>
    <x v="1"/>
    <x v="8"/>
    <s v="COD"/>
    <x v="9"/>
    <s v="Walter Crawford"/>
    <x v="1"/>
    <s v="Springfield"/>
    <n v="28.629770992366414"/>
  </r>
  <r>
    <x v="7"/>
    <x v="12"/>
    <n v="133"/>
    <n v="6"/>
    <x v="1"/>
    <x v="8"/>
    <s v="Credit Card"/>
    <x v="10"/>
    <s v="Lawrence Robinson"/>
    <x v="2"/>
    <s v="Rochester"/>
    <n v="5.4511278195488719"/>
  </r>
  <r>
    <x v="7"/>
    <x v="13"/>
    <n v="2685"/>
    <n v="2"/>
    <x v="2"/>
    <x v="4"/>
    <s v="Credit Card"/>
    <x v="10"/>
    <s v="Lawrence Robinson"/>
    <x v="2"/>
    <s v="Rochester"/>
    <n v="2.6819366852886404"/>
  </r>
  <r>
    <x v="8"/>
    <x v="14"/>
    <n v="265"/>
    <n v="1"/>
    <x v="1"/>
    <x v="8"/>
    <s v="UPI"/>
    <x v="11"/>
    <s v="Douglas Pennington"/>
    <x v="4"/>
    <s v="Dallas"/>
    <n v="6.1471698113207545"/>
  </r>
  <r>
    <x v="8"/>
    <x v="14"/>
    <n v="265"/>
    <n v="1"/>
    <x v="1"/>
    <x v="8"/>
    <s v="UPI"/>
    <x v="12"/>
    <s v="Ricardo Andrews"/>
    <x v="3"/>
    <s v="San Diego"/>
    <n v="6.1471698113207545"/>
  </r>
  <r>
    <x v="9"/>
    <x v="15"/>
    <n v="2971"/>
    <n v="19"/>
    <x v="1"/>
    <x v="9"/>
    <s v="Debit Card"/>
    <x v="13"/>
    <s v="Paul Raymond"/>
    <x v="3"/>
    <s v="San Diego"/>
    <n v="3.0195220464490071"/>
  </r>
  <r>
    <x v="9"/>
    <x v="16"/>
    <n v="894"/>
    <n v="20"/>
    <x v="1"/>
    <x v="9"/>
    <s v="COD"/>
    <x v="13"/>
    <s v="Paul Raymond"/>
    <x v="3"/>
    <s v="San Diego"/>
    <n v="3.2874720357941833"/>
  </r>
  <r>
    <x v="10"/>
    <x v="17"/>
    <n v="414"/>
    <n v="11"/>
    <x v="0"/>
    <x v="10"/>
    <s v="UPI"/>
    <x v="14"/>
    <s v="Karen Johnson"/>
    <x v="2"/>
    <s v="Rochester"/>
    <n v="22.657004830917874"/>
  </r>
  <r>
    <x v="10"/>
    <x v="18"/>
    <n v="1644"/>
    <n v="18"/>
    <x v="1"/>
    <x v="9"/>
    <s v="Credit Card"/>
    <x v="14"/>
    <s v="Karen Johnson"/>
    <x v="2"/>
    <s v="Rochester"/>
    <n v="5.2055961070559613"/>
  </r>
  <r>
    <x v="10"/>
    <x v="19"/>
    <n v="72"/>
    <n v="17"/>
    <x v="1"/>
    <x v="8"/>
    <s v="COD"/>
    <x v="14"/>
    <s v="Karen Johnson"/>
    <x v="2"/>
    <s v="Rochester"/>
    <n v="56.666666666666664"/>
  </r>
  <r>
    <x v="11"/>
    <x v="20"/>
    <n v="1821"/>
    <n v="17"/>
    <x v="0"/>
    <x v="0"/>
    <s v="EMI"/>
    <x v="15"/>
    <s v="Juan Erickson"/>
    <x v="4"/>
    <s v="Austin"/>
    <n v="2.3097199341021417"/>
  </r>
  <r>
    <x v="12"/>
    <x v="21"/>
    <n v="1180"/>
    <n v="20"/>
    <x v="1"/>
    <x v="9"/>
    <s v="COD"/>
    <x v="16"/>
    <s v="Alexander Reed"/>
    <x v="2"/>
    <s v="New York City"/>
    <n v="4.4228813559322031"/>
  </r>
  <r>
    <x v="12"/>
    <x v="21"/>
    <n v="1180"/>
    <n v="20"/>
    <x v="1"/>
    <x v="9"/>
    <s v="COD"/>
    <x v="17"/>
    <s v="Jacqueline Harris"/>
    <x v="3"/>
    <s v="San Francisco"/>
    <n v="4.4228813559322031"/>
  </r>
  <r>
    <x v="13"/>
    <x v="22"/>
    <n v="760"/>
    <n v="20"/>
    <x v="1"/>
    <x v="2"/>
    <s v="Debit Card"/>
    <x v="18"/>
    <s v="Tyler Park"/>
    <x v="3"/>
    <s v="San Francisco"/>
    <n v="4.8499999999999996"/>
  </r>
  <r>
    <x v="13"/>
    <x v="22"/>
    <n v="760"/>
    <n v="20"/>
    <x v="1"/>
    <x v="2"/>
    <s v="Debit Card"/>
    <x v="19"/>
    <s v="Richard Wolfe"/>
    <x v="5"/>
    <s v="Columbus"/>
    <n v="4.8499999999999996"/>
  </r>
  <r>
    <x v="14"/>
    <x v="23"/>
    <n v="1606"/>
    <n v="4"/>
    <x v="1"/>
    <x v="8"/>
    <s v="COD"/>
    <x v="20"/>
    <s v="Sierra Rios"/>
    <x v="0"/>
    <s v="Orlando"/>
    <n v="3.7640099626400998"/>
  </r>
  <r>
    <x v="14"/>
    <x v="24"/>
    <n v="554"/>
    <n v="11"/>
    <x v="1"/>
    <x v="2"/>
    <s v="COD"/>
    <x v="20"/>
    <s v="Sierra Rios"/>
    <x v="0"/>
    <s v="Orlando"/>
    <n v="16.853790613718413"/>
  </r>
  <r>
    <x v="15"/>
    <x v="25"/>
    <n v="1848"/>
    <n v="12"/>
    <x v="0"/>
    <x v="10"/>
    <s v="Credit Card"/>
    <x v="21"/>
    <s v="Jessica Richardson"/>
    <x v="3"/>
    <s v="San Diego"/>
    <n v="2.1920995670995671"/>
  </r>
  <r>
    <x v="15"/>
    <x v="25"/>
    <n v="1848"/>
    <n v="12"/>
    <x v="0"/>
    <x v="10"/>
    <s v="Credit Card"/>
    <x v="22"/>
    <s v="Kimberly Warren"/>
    <x v="5"/>
    <s v="Cincinnati"/>
    <n v="2.1920995670995671"/>
  </r>
  <r>
    <x v="15"/>
    <x v="26"/>
    <n v="866"/>
    <n v="11"/>
    <x v="2"/>
    <x v="11"/>
    <s v="Credit Card"/>
    <x v="21"/>
    <s v="Jessica Richardson"/>
    <x v="3"/>
    <s v="San Diego"/>
    <n v="5.7863741339491916"/>
  </r>
  <r>
    <x v="15"/>
    <x v="26"/>
    <n v="866"/>
    <n v="11"/>
    <x v="2"/>
    <x v="11"/>
    <s v="Credit Card"/>
    <x v="22"/>
    <s v="Kimberly Warren"/>
    <x v="5"/>
    <s v="Cincinnati"/>
    <n v="5.7863741339491916"/>
  </r>
  <r>
    <x v="16"/>
    <x v="27"/>
    <n v="630"/>
    <n v="15"/>
    <x v="2"/>
    <x v="7"/>
    <s v="EMI"/>
    <x v="23"/>
    <s v="Casey Garcia"/>
    <x v="0"/>
    <s v="Orlando"/>
    <n v="6.2825396825396824"/>
  </r>
  <r>
    <x v="16"/>
    <x v="28"/>
    <n v="963"/>
    <n v="1"/>
    <x v="2"/>
    <x v="4"/>
    <s v="Debit Card"/>
    <x v="23"/>
    <s v="Casey Garcia"/>
    <x v="0"/>
    <s v="Orlando"/>
    <n v="3.2523364485981308"/>
  </r>
  <r>
    <x v="17"/>
    <x v="29"/>
    <n v="2937"/>
    <n v="12"/>
    <x v="1"/>
    <x v="6"/>
    <s v="UPI"/>
    <x v="24"/>
    <s v="Denise Hampton"/>
    <x v="3"/>
    <s v="San Francisco"/>
    <n v="2.6503234593122236"/>
  </r>
  <r>
    <x v="17"/>
    <x v="30"/>
    <n v="1696"/>
    <n v="3"/>
    <x v="1"/>
    <x v="2"/>
    <s v="COD"/>
    <x v="24"/>
    <s v="Denise Hampton"/>
    <x v="3"/>
    <s v="San Francisco"/>
    <n v="3.2965801886792452"/>
  </r>
  <r>
    <x v="17"/>
    <x v="31"/>
    <n v="2413"/>
    <n v="12"/>
    <x v="0"/>
    <x v="0"/>
    <s v="COD"/>
    <x v="24"/>
    <s v="Denise Hampton"/>
    <x v="3"/>
    <s v="San Francisco"/>
    <n v="2.122668876916701"/>
  </r>
  <r>
    <x v="18"/>
    <x v="32"/>
    <n v="2632"/>
    <n v="8"/>
    <x v="1"/>
    <x v="9"/>
    <s v="COD"/>
    <x v="25"/>
    <s v="Justin Rodriguez"/>
    <x v="5"/>
    <s v="Cleveland"/>
    <n v="3.150835866261398"/>
  </r>
  <r>
    <x v="18"/>
    <x v="32"/>
    <n v="2632"/>
    <n v="8"/>
    <x v="1"/>
    <x v="9"/>
    <s v="COD"/>
    <x v="26"/>
    <s v="Ms. Emily Baxter"/>
    <x v="2"/>
    <s v="Rochester"/>
    <n v="3.150835866261398"/>
  </r>
  <r>
    <x v="18"/>
    <x v="32"/>
    <n v="2632"/>
    <n v="8"/>
    <x v="1"/>
    <x v="9"/>
    <s v="COD"/>
    <x v="27"/>
    <s v="Austin White"/>
    <x v="3"/>
    <s v="Los Angeles"/>
    <n v="3.150835866261398"/>
  </r>
  <r>
    <x v="18"/>
    <x v="33"/>
    <n v="205"/>
    <n v="17"/>
    <x v="0"/>
    <x v="10"/>
    <s v="UPI"/>
    <x v="25"/>
    <s v="Justin Rodriguez"/>
    <x v="5"/>
    <s v="Cleveland"/>
    <n v="13.965853658536586"/>
  </r>
  <r>
    <x v="18"/>
    <x v="33"/>
    <n v="205"/>
    <n v="17"/>
    <x v="0"/>
    <x v="10"/>
    <s v="UPI"/>
    <x v="26"/>
    <s v="Ms. Emily Baxter"/>
    <x v="2"/>
    <s v="Rochester"/>
    <n v="13.965853658536586"/>
  </r>
  <r>
    <x v="18"/>
    <x v="33"/>
    <n v="205"/>
    <n v="17"/>
    <x v="0"/>
    <x v="10"/>
    <s v="UPI"/>
    <x v="27"/>
    <s v="Austin White"/>
    <x v="3"/>
    <s v="Los Angeles"/>
    <n v="13.965853658536586"/>
  </r>
  <r>
    <x v="19"/>
    <x v="34"/>
    <n v="573"/>
    <n v="6"/>
    <x v="2"/>
    <x v="4"/>
    <s v="EMI"/>
    <x v="1"/>
    <s v="Morgan Montes"/>
    <x v="3"/>
    <s v="San Diego"/>
    <n v="5.3926701570680624"/>
  </r>
  <r>
    <x v="19"/>
    <x v="34"/>
    <n v="573"/>
    <n v="6"/>
    <x v="2"/>
    <x v="4"/>
    <s v="EMI"/>
    <x v="28"/>
    <s v="Christine Mosley"/>
    <x v="5"/>
    <s v="Cincinnati"/>
    <n v="5.3926701570680624"/>
  </r>
  <r>
    <x v="19"/>
    <x v="34"/>
    <n v="573"/>
    <n v="6"/>
    <x v="2"/>
    <x v="4"/>
    <s v="EMI"/>
    <x v="29"/>
    <s v="Ashley Rodriguez"/>
    <x v="4"/>
    <s v="Austin"/>
    <n v="5.3926701570680624"/>
  </r>
  <r>
    <x v="19"/>
    <x v="34"/>
    <n v="573"/>
    <n v="6"/>
    <x v="2"/>
    <x v="4"/>
    <s v="EMI"/>
    <x v="30"/>
    <s v="Elizabeth King"/>
    <x v="4"/>
    <s v="Dallas"/>
    <n v="5.3926701570680624"/>
  </r>
  <r>
    <x v="19"/>
    <x v="35"/>
    <n v="1014"/>
    <n v="5"/>
    <x v="0"/>
    <x v="1"/>
    <s v="UPI"/>
    <x v="1"/>
    <s v="Morgan Montes"/>
    <x v="3"/>
    <s v="San Diego"/>
    <n v="9.5493096646942792"/>
  </r>
  <r>
    <x v="19"/>
    <x v="35"/>
    <n v="1014"/>
    <n v="5"/>
    <x v="0"/>
    <x v="1"/>
    <s v="UPI"/>
    <x v="28"/>
    <s v="Christine Mosley"/>
    <x v="5"/>
    <s v="Cincinnati"/>
    <n v="9.5493096646942792"/>
  </r>
  <r>
    <x v="19"/>
    <x v="35"/>
    <n v="1014"/>
    <n v="5"/>
    <x v="0"/>
    <x v="1"/>
    <s v="UPI"/>
    <x v="29"/>
    <s v="Ashley Rodriguez"/>
    <x v="4"/>
    <s v="Austin"/>
    <n v="9.5493096646942792"/>
  </r>
  <r>
    <x v="19"/>
    <x v="35"/>
    <n v="1014"/>
    <n v="5"/>
    <x v="0"/>
    <x v="1"/>
    <s v="UPI"/>
    <x v="30"/>
    <s v="Elizabeth King"/>
    <x v="4"/>
    <s v="Dallas"/>
    <n v="9.5493096646942792"/>
  </r>
  <r>
    <x v="20"/>
    <x v="36"/>
    <n v="648"/>
    <n v="18"/>
    <x v="2"/>
    <x v="4"/>
    <s v="EMI"/>
    <x v="31"/>
    <s v="Connie Holmes"/>
    <x v="5"/>
    <s v="Cincinnati"/>
    <n v="3.800925925925926"/>
  </r>
  <r>
    <x v="21"/>
    <x v="37"/>
    <n v="1538"/>
    <n v="12"/>
    <x v="2"/>
    <x v="7"/>
    <s v="COD"/>
    <x v="32"/>
    <s v="Melissa Peck"/>
    <x v="0"/>
    <s v="Miami"/>
    <n v="5.0786736020806238"/>
  </r>
  <r>
    <x v="22"/>
    <x v="38"/>
    <n v="451"/>
    <n v="10"/>
    <x v="2"/>
    <x v="4"/>
    <s v="Debit Card"/>
    <x v="33"/>
    <s v="David Smith"/>
    <x v="0"/>
    <s v="Orlando"/>
    <n v="13.611973392461197"/>
  </r>
  <r>
    <x v="22"/>
    <x v="38"/>
    <n v="451"/>
    <n v="10"/>
    <x v="2"/>
    <x v="4"/>
    <s v="Debit Card"/>
    <x v="34"/>
    <s v="Jacqueline Harris"/>
    <x v="4"/>
    <s v="Houston"/>
    <n v="13.611973392461197"/>
  </r>
  <r>
    <x v="22"/>
    <x v="39"/>
    <n v="3192"/>
    <n v="3"/>
    <x v="2"/>
    <x v="5"/>
    <s v="COD"/>
    <x v="33"/>
    <s v="David Smith"/>
    <x v="0"/>
    <s v="Orlando"/>
    <n v="2.7055137844611528"/>
  </r>
  <r>
    <x v="22"/>
    <x v="39"/>
    <n v="3192"/>
    <n v="3"/>
    <x v="2"/>
    <x v="5"/>
    <s v="COD"/>
    <x v="34"/>
    <s v="Jacqueline Harris"/>
    <x v="4"/>
    <s v="Houston"/>
    <n v="2.7055137844611528"/>
  </r>
  <r>
    <x v="22"/>
    <x v="40"/>
    <n v="1712"/>
    <n v="19"/>
    <x v="2"/>
    <x v="7"/>
    <s v="Credit Card"/>
    <x v="33"/>
    <s v="David Smith"/>
    <x v="0"/>
    <s v="Orlando"/>
    <n v="2.5928738317757007"/>
  </r>
  <r>
    <x v="22"/>
    <x v="40"/>
    <n v="1712"/>
    <n v="19"/>
    <x v="2"/>
    <x v="7"/>
    <s v="Credit Card"/>
    <x v="34"/>
    <s v="Jacqueline Harris"/>
    <x v="4"/>
    <s v="Houston"/>
    <n v="2.5928738317757007"/>
  </r>
  <r>
    <x v="23"/>
    <x v="41"/>
    <n v="172"/>
    <n v="20"/>
    <x v="2"/>
    <x v="4"/>
    <s v="Debit Card"/>
    <x v="35"/>
    <s v="Heather Jenkins"/>
    <x v="2"/>
    <s v="Buffalo"/>
    <n v="5.9069767441860463"/>
  </r>
  <r>
    <x v="23"/>
    <x v="42"/>
    <n v="2059"/>
    <n v="14"/>
    <x v="2"/>
    <x v="4"/>
    <s v="UPI"/>
    <x v="35"/>
    <s v="Heather Jenkins"/>
    <x v="2"/>
    <s v="Buffalo"/>
    <n v="2.8013598834385625"/>
  </r>
  <r>
    <x v="23"/>
    <x v="43"/>
    <n v="151"/>
    <n v="3"/>
    <x v="2"/>
    <x v="4"/>
    <s v="Credit Card"/>
    <x v="35"/>
    <s v="Heather Jenkins"/>
    <x v="2"/>
    <s v="Buffalo"/>
    <n v="8.0596026490066226"/>
  </r>
  <r>
    <x v="24"/>
    <x v="44"/>
    <n v="93"/>
    <n v="2"/>
    <x v="1"/>
    <x v="8"/>
    <s v="Debit Card"/>
    <x v="36"/>
    <s v="Kelsey Castaneda"/>
    <x v="5"/>
    <s v="Cleveland"/>
    <n v="10.24731182795699"/>
  </r>
  <r>
    <x v="24"/>
    <x v="44"/>
    <n v="93"/>
    <n v="2"/>
    <x v="1"/>
    <x v="8"/>
    <s v="Debit Card"/>
    <x v="37"/>
    <s v="Katherine Harris"/>
    <x v="3"/>
    <s v="Los Angeles"/>
    <n v="10.24731182795699"/>
  </r>
  <r>
    <x v="24"/>
    <x v="45"/>
    <n v="1034"/>
    <n v="3"/>
    <x v="2"/>
    <x v="7"/>
    <s v="COD"/>
    <x v="36"/>
    <s v="Kelsey Castaneda"/>
    <x v="5"/>
    <s v="Cleveland"/>
    <n v="7.1131528046421666"/>
  </r>
  <r>
    <x v="24"/>
    <x v="45"/>
    <n v="1034"/>
    <n v="3"/>
    <x v="2"/>
    <x v="7"/>
    <s v="COD"/>
    <x v="37"/>
    <s v="Katherine Harris"/>
    <x v="3"/>
    <s v="Los Angeles"/>
    <n v="7.1131528046421666"/>
  </r>
  <r>
    <x v="24"/>
    <x v="46"/>
    <n v="248"/>
    <n v="3"/>
    <x v="0"/>
    <x v="10"/>
    <s v="Credit Card"/>
    <x v="36"/>
    <s v="Kelsey Castaneda"/>
    <x v="5"/>
    <s v="Cleveland"/>
    <n v="7.431451612903226"/>
  </r>
  <r>
    <x v="24"/>
    <x v="46"/>
    <n v="248"/>
    <n v="3"/>
    <x v="0"/>
    <x v="10"/>
    <s v="Credit Card"/>
    <x v="37"/>
    <s v="Katherine Harris"/>
    <x v="3"/>
    <s v="Los Angeles"/>
    <n v="7.431451612903226"/>
  </r>
  <r>
    <x v="24"/>
    <x v="47"/>
    <n v="361"/>
    <n v="10"/>
    <x v="1"/>
    <x v="2"/>
    <s v="Debit Card"/>
    <x v="36"/>
    <s v="Kelsey Castaneda"/>
    <x v="5"/>
    <s v="Cleveland"/>
    <n v="4.4404432132963985"/>
  </r>
  <r>
    <x v="24"/>
    <x v="47"/>
    <n v="361"/>
    <n v="10"/>
    <x v="1"/>
    <x v="2"/>
    <s v="Debit Card"/>
    <x v="37"/>
    <s v="Katherine Harris"/>
    <x v="3"/>
    <s v="Los Angeles"/>
    <n v="4.4404432132963985"/>
  </r>
  <r>
    <x v="25"/>
    <x v="48"/>
    <n v="528"/>
    <n v="1"/>
    <x v="1"/>
    <x v="2"/>
    <s v="Credit Card"/>
    <x v="38"/>
    <s v="Paul Rogers"/>
    <x v="0"/>
    <s v="Miami"/>
    <n v="3.8352272727272729"/>
  </r>
  <r>
    <x v="25"/>
    <x v="49"/>
    <n v="167"/>
    <n v="16"/>
    <x v="1"/>
    <x v="9"/>
    <s v="EMI"/>
    <x v="38"/>
    <s v="Paul Rogers"/>
    <x v="0"/>
    <s v="Miami"/>
    <n v="40.718562874251496"/>
  </r>
  <r>
    <x v="26"/>
    <x v="50"/>
    <n v="55"/>
    <n v="1"/>
    <x v="2"/>
    <x v="11"/>
    <s v="UPI"/>
    <x v="39"/>
    <s v="Jon Banks"/>
    <x v="0"/>
    <s v="Tampa"/>
    <n v="20.472727272727273"/>
  </r>
  <r>
    <x v="26"/>
    <x v="50"/>
    <n v="55"/>
    <n v="1"/>
    <x v="2"/>
    <x v="11"/>
    <s v="UPI"/>
    <x v="40"/>
    <s v="Michelle Williams"/>
    <x v="2"/>
    <s v="Buffalo"/>
    <n v="20.472727272727273"/>
  </r>
  <r>
    <x v="27"/>
    <x v="51"/>
    <n v="3508"/>
    <n v="12"/>
    <x v="2"/>
    <x v="4"/>
    <s v="UPI"/>
    <x v="41"/>
    <s v="Andrew Allen"/>
    <x v="3"/>
    <s v="San Diego"/>
    <n v="2.1473774230330673"/>
  </r>
  <r>
    <x v="27"/>
    <x v="52"/>
    <n v="1178"/>
    <n v="16"/>
    <x v="1"/>
    <x v="9"/>
    <s v="Credit Card"/>
    <x v="41"/>
    <s v="Andrew Allen"/>
    <x v="3"/>
    <s v="San Diego"/>
    <n v="4.0186757215619693"/>
  </r>
  <r>
    <x v="27"/>
    <x v="53"/>
    <n v="1175"/>
    <n v="6"/>
    <x v="0"/>
    <x v="0"/>
    <s v="Debit Card"/>
    <x v="41"/>
    <s v="Andrew Allen"/>
    <x v="3"/>
    <s v="San Diego"/>
    <n v="3.4672340425531916"/>
  </r>
  <r>
    <x v="27"/>
    <x v="54"/>
    <n v="484"/>
    <n v="3"/>
    <x v="2"/>
    <x v="7"/>
    <s v="Credit Card"/>
    <x v="41"/>
    <s v="Andrew Allen"/>
    <x v="3"/>
    <s v="San Diego"/>
    <n v="4.8223140495867769"/>
  </r>
  <r>
    <x v="28"/>
    <x v="55"/>
    <n v="1239"/>
    <n v="11"/>
    <x v="0"/>
    <x v="10"/>
    <s v="Debit Card"/>
    <x v="42"/>
    <s v="Vanessa Bauer"/>
    <x v="2"/>
    <s v="Buffalo"/>
    <n v="2.2195318805488298"/>
  </r>
  <r>
    <x v="28"/>
    <x v="55"/>
    <n v="1239"/>
    <n v="11"/>
    <x v="0"/>
    <x v="10"/>
    <s v="Debit Card"/>
    <x v="43"/>
    <s v="Sean Smith"/>
    <x v="5"/>
    <s v="Cleveland"/>
    <n v="2.2195318805488298"/>
  </r>
  <r>
    <x v="28"/>
    <x v="56"/>
    <n v="3104"/>
    <n v="19"/>
    <x v="1"/>
    <x v="2"/>
    <s v="EMI"/>
    <x v="42"/>
    <s v="Vanessa Bauer"/>
    <x v="2"/>
    <s v="Buffalo"/>
    <n v="2.7831829896907219"/>
  </r>
  <r>
    <x v="28"/>
    <x v="56"/>
    <n v="3104"/>
    <n v="19"/>
    <x v="1"/>
    <x v="2"/>
    <s v="EMI"/>
    <x v="43"/>
    <s v="Sean Smith"/>
    <x v="5"/>
    <s v="Cleveland"/>
    <n v="2.7831829896907219"/>
  </r>
  <r>
    <x v="29"/>
    <x v="57"/>
    <n v="1192"/>
    <n v="4"/>
    <x v="1"/>
    <x v="6"/>
    <s v="UPI"/>
    <x v="44"/>
    <s v="Shelly Sweeney"/>
    <x v="2"/>
    <s v="New York City"/>
    <n v="3.1946308724832213"/>
  </r>
  <r>
    <x v="29"/>
    <x v="58"/>
    <n v="705"/>
    <n v="16"/>
    <x v="1"/>
    <x v="2"/>
    <s v="Credit Card"/>
    <x v="44"/>
    <s v="Shelly Sweeney"/>
    <x v="2"/>
    <s v="New York City"/>
    <n v="3.6709219858156028"/>
  </r>
  <r>
    <x v="30"/>
    <x v="59"/>
    <n v="727"/>
    <n v="5"/>
    <x v="0"/>
    <x v="0"/>
    <s v="Credit Card"/>
    <x v="45"/>
    <s v="Emily Gill"/>
    <x v="1"/>
    <s v="Springfield"/>
    <n v="2.1884456671251717"/>
  </r>
  <r>
    <x v="30"/>
    <x v="59"/>
    <n v="727"/>
    <n v="5"/>
    <x v="0"/>
    <x v="0"/>
    <s v="Credit Card"/>
    <x v="46"/>
    <s v="Brian Patrick"/>
    <x v="0"/>
    <s v="Tampa"/>
    <n v="2.1884456671251717"/>
  </r>
  <r>
    <x v="30"/>
    <x v="59"/>
    <n v="727"/>
    <n v="5"/>
    <x v="0"/>
    <x v="0"/>
    <s v="Credit Card"/>
    <x v="47"/>
    <s v="Dr. Sarah Booth"/>
    <x v="5"/>
    <s v="Cincinnati"/>
    <n v="2.1884456671251717"/>
  </r>
  <r>
    <x v="31"/>
    <x v="60"/>
    <n v="622"/>
    <n v="10"/>
    <x v="2"/>
    <x v="5"/>
    <s v="UPI"/>
    <x v="48"/>
    <s v="Douglas Mcfarland"/>
    <x v="5"/>
    <s v="Cleveland"/>
    <n v="2.82475884244373"/>
  </r>
  <r>
    <x v="31"/>
    <x v="60"/>
    <n v="622"/>
    <n v="10"/>
    <x v="2"/>
    <x v="5"/>
    <s v="UPI"/>
    <x v="49"/>
    <s v="Kayla Ross"/>
    <x v="1"/>
    <s v="Peoria"/>
    <n v="2.82475884244373"/>
  </r>
  <r>
    <x v="32"/>
    <x v="61"/>
    <n v="253"/>
    <n v="15"/>
    <x v="2"/>
    <x v="11"/>
    <s v="Debit Card"/>
    <x v="50"/>
    <s v="Marc Strickland"/>
    <x v="0"/>
    <s v="Orlando"/>
    <n v="27.430830039525691"/>
  </r>
  <r>
    <x v="32"/>
    <x v="62"/>
    <n v="465"/>
    <n v="5"/>
    <x v="0"/>
    <x v="1"/>
    <s v="UPI"/>
    <x v="50"/>
    <s v="Marc Strickland"/>
    <x v="0"/>
    <s v="Orlando"/>
    <n v="10.978494623655914"/>
  </r>
  <r>
    <x v="33"/>
    <x v="63"/>
    <n v="277"/>
    <n v="16"/>
    <x v="2"/>
    <x v="4"/>
    <s v="COD"/>
    <x v="51"/>
    <s v="Charlene Brown"/>
    <x v="0"/>
    <s v="Miami"/>
    <n v="20.137184115523464"/>
  </r>
  <r>
    <x v="33"/>
    <x v="63"/>
    <n v="277"/>
    <n v="16"/>
    <x v="2"/>
    <x v="4"/>
    <s v="COD"/>
    <x v="52"/>
    <s v="Charles Smith"/>
    <x v="5"/>
    <s v="Columbus"/>
    <n v="20.137184115523464"/>
  </r>
  <r>
    <x v="34"/>
    <x v="64"/>
    <n v="1958"/>
    <n v="16"/>
    <x v="2"/>
    <x v="5"/>
    <s v="Credit Card"/>
    <x v="53"/>
    <s v="Karen Townsend"/>
    <x v="4"/>
    <s v="Houston"/>
    <n v="2.6680286006128702"/>
  </r>
  <r>
    <x v="34"/>
    <x v="65"/>
    <n v="1801"/>
    <n v="11"/>
    <x v="1"/>
    <x v="6"/>
    <s v="Credit Card"/>
    <x v="53"/>
    <s v="Karen Townsend"/>
    <x v="4"/>
    <s v="Houston"/>
    <n v="2.7773459189339258"/>
  </r>
  <r>
    <x v="34"/>
    <x v="66"/>
    <n v="1673"/>
    <n v="18"/>
    <x v="1"/>
    <x v="6"/>
    <s v="COD"/>
    <x v="53"/>
    <s v="Karen Townsend"/>
    <x v="4"/>
    <s v="Houston"/>
    <n v="4.4112372982665873"/>
  </r>
  <r>
    <x v="35"/>
    <x v="67"/>
    <n v="2873"/>
    <n v="4"/>
    <x v="2"/>
    <x v="5"/>
    <s v="Debit Card"/>
    <x v="54"/>
    <s v="Steven Cox"/>
    <x v="3"/>
    <s v="Los Angeles"/>
    <n v="2.643578141315698"/>
  </r>
  <r>
    <x v="35"/>
    <x v="67"/>
    <n v="2873"/>
    <n v="4"/>
    <x v="2"/>
    <x v="5"/>
    <s v="Debit Card"/>
    <x v="55"/>
    <s v="Cynthia Rodriguez"/>
    <x v="2"/>
    <s v="Rochester"/>
    <n v="2.643578141315698"/>
  </r>
  <r>
    <x v="36"/>
    <x v="68"/>
    <n v="294"/>
    <n v="7"/>
    <x v="2"/>
    <x v="7"/>
    <s v="Debit Card"/>
    <x v="56"/>
    <s v="Jessica Baker"/>
    <x v="4"/>
    <s v="Austin"/>
    <n v="6.6462585034013602"/>
  </r>
  <r>
    <x v="37"/>
    <x v="69"/>
    <n v="95"/>
    <n v="20"/>
    <x v="0"/>
    <x v="1"/>
    <s v="EMI"/>
    <x v="57"/>
    <s v="Mark Blackburn"/>
    <x v="4"/>
    <s v="Dallas"/>
    <n v="5.5052631578947366"/>
  </r>
  <r>
    <x v="38"/>
    <x v="70"/>
    <n v="714"/>
    <n v="13"/>
    <x v="0"/>
    <x v="3"/>
    <s v="EMI"/>
    <x v="58"/>
    <s v="Zachary Perez"/>
    <x v="4"/>
    <s v="Austin"/>
    <n v="7.988795518207283"/>
  </r>
  <r>
    <x v="38"/>
    <x v="70"/>
    <n v="714"/>
    <n v="13"/>
    <x v="0"/>
    <x v="3"/>
    <s v="EMI"/>
    <x v="59"/>
    <s v="Brian Green"/>
    <x v="3"/>
    <s v="San Diego"/>
    <n v="7.988795518207283"/>
  </r>
  <r>
    <x v="38"/>
    <x v="71"/>
    <n v="1010"/>
    <n v="8"/>
    <x v="2"/>
    <x v="4"/>
    <s v="UPI"/>
    <x v="58"/>
    <s v="Zachary Perez"/>
    <x v="4"/>
    <s v="Austin"/>
    <n v="8.7099009900990101"/>
  </r>
  <r>
    <x v="38"/>
    <x v="71"/>
    <n v="1010"/>
    <n v="8"/>
    <x v="2"/>
    <x v="4"/>
    <s v="UPI"/>
    <x v="59"/>
    <s v="Brian Green"/>
    <x v="3"/>
    <s v="San Diego"/>
    <n v="8.7099009900990101"/>
  </r>
  <r>
    <x v="38"/>
    <x v="72"/>
    <n v="2899"/>
    <n v="5"/>
    <x v="0"/>
    <x v="3"/>
    <s v="Debit Card"/>
    <x v="58"/>
    <s v="Zachary Perez"/>
    <x v="4"/>
    <s v="Austin"/>
    <n v="3.1859261814418764"/>
  </r>
  <r>
    <x v="38"/>
    <x v="72"/>
    <n v="2899"/>
    <n v="5"/>
    <x v="0"/>
    <x v="3"/>
    <s v="Debit Card"/>
    <x v="59"/>
    <s v="Brian Green"/>
    <x v="3"/>
    <s v="San Diego"/>
    <n v="3.1859261814418764"/>
  </r>
  <r>
    <x v="39"/>
    <x v="73"/>
    <n v="586"/>
    <n v="17"/>
    <x v="2"/>
    <x v="7"/>
    <s v="EMI"/>
    <x v="60"/>
    <s v="Becky Leach"/>
    <x v="0"/>
    <s v="Miami"/>
    <n v="15.544368600682594"/>
  </r>
  <r>
    <x v="40"/>
    <x v="74"/>
    <n v="526"/>
    <n v="19"/>
    <x v="0"/>
    <x v="10"/>
    <s v="Credit Card"/>
    <x v="61"/>
    <s v="Bryan Russell"/>
    <x v="4"/>
    <s v="Dallas"/>
    <n v="8.2851711026615966"/>
  </r>
  <r>
    <x v="40"/>
    <x v="74"/>
    <n v="526"/>
    <n v="19"/>
    <x v="0"/>
    <x v="10"/>
    <s v="Credit Card"/>
    <x v="62"/>
    <s v="Tony Maddox"/>
    <x v="3"/>
    <s v="San Francisco"/>
    <n v="8.2851711026615966"/>
  </r>
  <r>
    <x v="40"/>
    <x v="75"/>
    <n v="825"/>
    <n v="8"/>
    <x v="0"/>
    <x v="10"/>
    <s v="Credit Card"/>
    <x v="61"/>
    <s v="Bryan Russell"/>
    <x v="4"/>
    <s v="Dallas"/>
    <n v="7.8290909090909091"/>
  </r>
  <r>
    <x v="40"/>
    <x v="75"/>
    <n v="825"/>
    <n v="8"/>
    <x v="0"/>
    <x v="10"/>
    <s v="Credit Card"/>
    <x v="62"/>
    <s v="Tony Maddox"/>
    <x v="3"/>
    <s v="San Francisco"/>
    <n v="7.8290909090909091"/>
  </r>
  <r>
    <x v="41"/>
    <x v="76"/>
    <n v="92"/>
    <n v="12"/>
    <x v="2"/>
    <x v="11"/>
    <s v="COD"/>
    <x v="63"/>
    <s v="Jason Randolph"/>
    <x v="3"/>
    <s v="San Francisco"/>
    <n v="26.934782608695652"/>
  </r>
  <r>
    <x v="41"/>
    <x v="76"/>
    <n v="92"/>
    <n v="12"/>
    <x v="2"/>
    <x v="11"/>
    <s v="COD"/>
    <x v="64"/>
    <s v="Laura Andrews"/>
    <x v="2"/>
    <s v="New York City"/>
    <n v="26.934782608695652"/>
  </r>
  <r>
    <x v="41"/>
    <x v="76"/>
    <n v="92"/>
    <n v="12"/>
    <x v="2"/>
    <x v="11"/>
    <s v="COD"/>
    <x v="65"/>
    <s v="Mrs. Stephanie Hooper"/>
    <x v="3"/>
    <s v="San Francisco"/>
    <n v="26.934782608695652"/>
  </r>
  <r>
    <x v="41"/>
    <x v="76"/>
    <n v="92"/>
    <n v="12"/>
    <x v="2"/>
    <x v="11"/>
    <s v="COD"/>
    <x v="66"/>
    <s v="Anthony Evans"/>
    <x v="5"/>
    <s v="Cleveland"/>
    <n v="26.934782608695652"/>
  </r>
  <r>
    <x v="42"/>
    <x v="77"/>
    <n v="3696"/>
    <n v="20"/>
    <x v="1"/>
    <x v="2"/>
    <s v="Debit Card"/>
    <x v="4"/>
    <s v="Patrick Williams"/>
    <x v="2"/>
    <s v="Rochester"/>
    <n v="2.7034632034632033"/>
  </r>
  <r>
    <x v="42"/>
    <x v="77"/>
    <n v="3696"/>
    <n v="20"/>
    <x v="1"/>
    <x v="2"/>
    <s v="Debit Card"/>
    <x v="67"/>
    <s v="Susan Burke"/>
    <x v="4"/>
    <s v="Austin"/>
    <n v="2.7034632034632033"/>
  </r>
  <r>
    <x v="42"/>
    <x v="77"/>
    <n v="3696"/>
    <n v="20"/>
    <x v="1"/>
    <x v="2"/>
    <s v="Debit Card"/>
    <x v="68"/>
    <s v="Brent Hernandez"/>
    <x v="2"/>
    <s v="Rochester"/>
    <n v="2.7034632034632033"/>
  </r>
  <r>
    <x v="42"/>
    <x v="78"/>
    <n v="3420"/>
    <n v="7"/>
    <x v="1"/>
    <x v="9"/>
    <s v="UPI"/>
    <x v="4"/>
    <s v="Patrick Williams"/>
    <x v="2"/>
    <s v="Rochester"/>
    <n v="2.8125730994152045"/>
  </r>
  <r>
    <x v="42"/>
    <x v="78"/>
    <n v="3420"/>
    <n v="7"/>
    <x v="1"/>
    <x v="9"/>
    <s v="UPI"/>
    <x v="67"/>
    <s v="Susan Burke"/>
    <x v="4"/>
    <s v="Austin"/>
    <n v="2.8125730994152045"/>
  </r>
  <r>
    <x v="42"/>
    <x v="78"/>
    <n v="3420"/>
    <n v="7"/>
    <x v="1"/>
    <x v="9"/>
    <s v="UPI"/>
    <x v="68"/>
    <s v="Brent Hernandez"/>
    <x v="2"/>
    <s v="Rochester"/>
    <n v="2.8125730994152045"/>
  </r>
  <r>
    <x v="43"/>
    <x v="79"/>
    <n v="3158"/>
    <n v="20"/>
    <x v="0"/>
    <x v="1"/>
    <s v="Credit Card"/>
    <x v="69"/>
    <s v="Sean Elliott"/>
    <x v="3"/>
    <s v="San Francisco"/>
    <n v="3.0202659911336287"/>
  </r>
  <r>
    <x v="43"/>
    <x v="79"/>
    <n v="3158"/>
    <n v="20"/>
    <x v="0"/>
    <x v="1"/>
    <s v="Credit Card"/>
    <x v="70"/>
    <s v="Wanda West"/>
    <x v="5"/>
    <s v="Cleveland"/>
    <n v="3.0202659911336287"/>
  </r>
  <r>
    <x v="43"/>
    <x v="80"/>
    <n v="1227"/>
    <n v="14"/>
    <x v="2"/>
    <x v="5"/>
    <s v="EMI"/>
    <x v="69"/>
    <s v="Sean Elliott"/>
    <x v="3"/>
    <s v="San Francisco"/>
    <n v="7.3634881825590872"/>
  </r>
  <r>
    <x v="43"/>
    <x v="80"/>
    <n v="1227"/>
    <n v="14"/>
    <x v="2"/>
    <x v="5"/>
    <s v="EMI"/>
    <x v="70"/>
    <s v="Wanda West"/>
    <x v="5"/>
    <s v="Cleveland"/>
    <n v="7.3634881825590872"/>
  </r>
  <r>
    <x v="44"/>
    <x v="81"/>
    <n v="670"/>
    <n v="2"/>
    <x v="1"/>
    <x v="8"/>
    <s v="COD"/>
    <x v="71"/>
    <s v="Renee Solomon"/>
    <x v="0"/>
    <s v="Tampa"/>
    <n v="4.0059701492537316"/>
  </r>
  <r>
    <x v="44"/>
    <x v="82"/>
    <n v="147"/>
    <n v="5"/>
    <x v="2"/>
    <x v="7"/>
    <s v="Credit Card"/>
    <x v="71"/>
    <s v="Renee Solomon"/>
    <x v="0"/>
    <s v="Tampa"/>
    <n v="5.591836734693878"/>
  </r>
  <r>
    <x v="44"/>
    <x v="83"/>
    <n v="2341"/>
    <n v="2"/>
    <x v="2"/>
    <x v="5"/>
    <s v="EMI"/>
    <x v="71"/>
    <s v="Renee Solomon"/>
    <x v="0"/>
    <s v="Tampa"/>
    <n v="4.1563434429730881"/>
  </r>
  <r>
    <x v="44"/>
    <x v="84"/>
    <n v="236"/>
    <n v="2"/>
    <x v="0"/>
    <x v="0"/>
    <s v="COD"/>
    <x v="71"/>
    <s v="Renee Solomon"/>
    <x v="0"/>
    <s v="Tampa"/>
    <n v="10.521186440677965"/>
  </r>
  <r>
    <x v="45"/>
    <x v="85"/>
    <n v="600"/>
    <n v="7"/>
    <x v="1"/>
    <x v="9"/>
    <s v="Credit Card"/>
    <x v="72"/>
    <s v="Daryl Miles"/>
    <x v="0"/>
    <s v="Orlando"/>
    <n v="2.1616666666666666"/>
  </r>
  <r>
    <x v="45"/>
    <x v="86"/>
    <n v="1942"/>
    <n v="19"/>
    <x v="0"/>
    <x v="10"/>
    <s v="COD"/>
    <x v="72"/>
    <s v="Daryl Miles"/>
    <x v="0"/>
    <s v="Orlando"/>
    <n v="4.072605561277034"/>
  </r>
  <r>
    <x v="46"/>
    <x v="87"/>
    <n v="4518"/>
    <n v="8"/>
    <x v="2"/>
    <x v="4"/>
    <s v="Credit Card"/>
    <x v="73"/>
    <s v="Michael Hunt"/>
    <x v="4"/>
    <s v="Dallas"/>
    <n v="2.1620185922974766"/>
  </r>
  <r>
    <x v="46"/>
    <x v="88"/>
    <n v="934"/>
    <n v="5"/>
    <x v="2"/>
    <x v="7"/>
    <s v="Debit Card"/>
    <x v="73"/>
    <s v="Michael Hunt"/>
    <x v="4"/>
    <s v="Dallas"/>
    <n v="5.3190578158458246"/>
  </r>
  <r>
    <x v="46"/>
    <x v="89"/>
    <n v="149"/>
    <n v="4"/>
    <x v="0"/>
    <x v="3"/>
    <s v="EMI"/>
    <x v="73"/>
    <s v="Michael Hunt"/>
    <x v="4"/>
    <s v="Dallas"/>
    <n v="11.617449664429531"/>
  </r>
  <r>
    <x v="47"/>
    <x v="90"/>
    <n v="1169"/>
    <n v="10"/>
    <x v="1"/>
    <x v="9"/>
    <s v="COD"/>
    <x v="74"/>
    <s v="Adam Clark"/>
    <x v="3"/>
    <s v="San Francisco"/>
    <n v="2.9366980325064156"/>
  </r>
  <r>
    <x v="47"/>
    <x v="90"/>
    <n v="1169"/>
    <n v="10"/>
    <x v="1"/>
    <x v="9"/>
    <s v="COD"/>
    <x v="75"/>
    <s v="Amy Olsen"/>
    <x v="1"/>
    <s v="Springfield"/>
    <n v="2.9366980325064156"/>
  </r>
  <r>
    <x v="47"/>
    <x v="90"/>
    <n v="1169"/>
    <n v="10"/>
    <x v="1"/>
    <x v="9"/>
    <s v="COD"/>
    <x v="76"/>
    <s v="Stacey Miller"/>
    <x v="3"/>
    <s v="San Diego"/>
    <n v="2.9366980325064156"/>
  </r>
  <r>
    <x v="47"/>
    <x v="91"/>
    <n v="1490"/>
    <n v="1"/>
    <x v="1"/>
    <x v="9"/>
    <s v="Debit Card"/>
    <x v="74"/>
    <s v="Adam Clark"/>
    <x v="3"/>
    <s v="San Francisco"/>
    <n v="2.6087248322147651"/>
  </r>
  <r>
    <x v="47"/>
    <x v="91"/>
    <n v="1490"/>
    <n v="1"/>
    <x v="1"/>
    <x v="9"/>
    <s v="Debit Card"/>
    <x v="75"/>
    <s v="Amy Olsen"/>
    <x v="1"/>
    <s v="Springfield"/>
    <n v="2.6087248322147651"/>
  </r>
  <r>
    <x v="47"/>
    <x v="91"/>
    <n v="1490"/>
    <n v="1"/>
    <x v="1"/>
    <x v="9"/>
    <s v="Debit Card"/>
    <x v="76"/>
    <s v="Stacey Miller"/>
    <x v="3"/>
    <s v="San Diego"/>
    <n v="2.6087248322147651"/>
  </r>
  <r>
    <x v="48"/>
    <x v="92"/>
    <n v="641"/>
    <n v="20"/>
    <x v="1"/>
    <x v="6"/>
    <s v="Credit Card"/>
    <x v="77"/>
    <s v="Daniel Mosley"/>
    <x v="3"/>
    <s v="Los Angeles"/>
    <n v="2.8096723868954756"/>
  </r>
  <r>
    <x v="48"/>
    <x v="93"/>
    <n v="817"/>
    <n v="10"/>
    <x v="2"/>
    <x v="4"/>
    <s v="Debit Card"/>
    <x v="77"/>
    <s v="Daniel Mosley"/>
    <x v="3"/>
    <s v="Los Angeles"/>
    <n v="6.4883720930232558"/>
  </r>
  <r>
    <x v="48"/>
    <x v="94"/>
    <n v="520"/>
    <n v="12"/>
    <x v="1"/>
    <x v="8"/>
    <s v="Debit Card"/>
    <x v="77"/>
    <s v="Daniel Mosley"/>
    <x v="3"/>
    <s v="Los Angeles"/>
    <n v="2.2423076923076923"/>
  </r>
  <r>
    <x v="48"/>
    <x v="95"/>
    <n v="1411"/>
    <n v="15"/>
    <x v="1"/>
    <x v="8"/>
    <s v="Debit Card"/>
    <x v="77"/>
    <s v="Daniel Mosley"/>
    <x v="3"/>
    <s v="Los Angeles"/>
    <n v="2.2650602409638556"/>
  </r>
  <r>
    <x v="49"/>
    <x v="96"/>
    <n v="350"/>
    <n v="1"/>
    <x v="2"/>
    <x v="5"/>
    <s v="Credit Card"/>
    <x v="78"/>
    <s v="Monica Gibson"/>
    <x v="1"/>
    <s v="Springfield"/>
    <n v="9.7942857142857136"/>
  </r>
  <r>
    <x v="49"/>
    <x v="97"/>
    <n v="2433"/>
    <n v="12"/>
    <x v="1"/>
    <x v="9"/>
    <s v="Credit Card"/>
    <x v="78"/>
    <s v="Monica Gibson"/>
    <x v="1"/>
    <s v="Springfield"/>
    <n v="2.9687628442252363"/>
  </r>
  <r>
    <x v="49"/>
    <x v="98"/>
    <n v="647"/>
    <n v="1"/>
    <x v="1"/>
    <x v="2"/>
    <s v="Credit Card"/>
    <x v="78"/>
    <s v="Monica Gibson"/>
    <x v="1"/>
    <s v="Springfield"/>
    <n v="5.7666151468315299"/>
  </r>
  <r>
    <x v="50"/>
    <x v="99"/>
    <n v="4401"/>
    <n v="18"/>
    <x v="1"/>
    <x v="2"/>
    <s v="Credit Card"/>
    <x v="79"/>
    <s v="Christopher Jordan"/>
    <x v="5"/>
    <s v="Columbus"/>
    <n v="2.0229493296977958"/>
  </r>
  <r>
    <x v="51"/>
    <x v="100"/>
    <n v="2107"/>
    <n v="7"/>
    <x v="0"/>
    <x v="10"/>
    <s v="UPI"/>
    <x v="80"/>
    <s v="Christina Davis"/>
    <x v="1"/>
    <s v="Chicago"/>
    <n v="2.8519221642145229"/>
  </r>
  <r>
    <x v="51"/>
    <x v="100"/>
    <n v="2107"/>
    <n v="7"/>
    <x v="0"/>
    <x v="10"/>
    <s v="UPI"/>
    <x v="81"/>
    <s v="Claudia Curry"/>
    <x v="4"/>
    <s v="Austin"/>
    <n v="2.8519221642145229"/>
  </r>
  <r>
    <x v="51"/>
    <x v="101"/>
    <n v="230"/>
    <n v="3"/>
    <x v="2"/>
    <x v="4"/>
    <s v="Credit Card"/>
    <x v="80"/>
    <s v="Christina Davis"/>
    <x v="1"/>
    <s v="Chicago"/>
    <n v="12.42608695652174"/>
  </r>
  <r>
    <x v="51"/>
    <x v="101"/>
    <n v="230"/>
    <n v="3"/>
    <x v="2"/>
    <x v="4"/>
    <s v="Credit Card"/>
    <x v="81"/>
    <s v="Claudia Curry"/>
    <x v="4"/>
    <s v="Austin"/>
    <n v="12.42608695652174"/>
  </r>
  <r>
    <x v="51"/>
    <x v="102"/>
    <n v="525"/>
    <n v="7"/>
    <x v="2"/>
    <x v="7"/>
    <s v="Credit Card"/>
    <x v="80"/>
    <s v="Christina Davis"/>
    <x v="1"/>
    <s v="Chicago"/>
    <n v="15.571428571428571"/>
  </r>
  <r>
    <x v="51"/>
    <x v="102"/>
    <n v="525"/>
    <n v="7"/>
    <x v="2"/>
    <x v="7"/>
    <s v="Credit Card"/>
    <x v="81"/>
    <s v="Claudia Curry"/>
    <x v="4"/>
    <s v="Austin"/>
    <n v="15.571428571428571"/>
  </r>
  <r>
    <x v="51"/>
    <x v="103"/>
    <n v="586"/>
    <n v="18"/>
    <x v="2"/>
    <x v="7"/>
    <s v="UPI"/>
    <x v="80"/>
    <s v="Christina Davis"/>
    <x v="1"/>
    <s v="Chicago"/>
    <n v="9.9761092150170647"/>
  </r>
  <r>
    <x v="51"/>
    <x v="103"/>
    <n v="586"/>
    <n v="18"/>
    <x v="2"/>
    <x v="7"/>
    <s v="UPI"/>
    <x v="81"/>
    <s v="Claudia Curry"/>
    <x v="4"/>
    <s v="Austin"/>
    <n v="9.9761092150170647"/>
  </r>
  <r>
    <x v="52"/>
    <x v="104"/>
    <n v="197"/>
    <n v="11"/>
    <x v="0"/>
    <x v="3"/>
    <s v="Credit Card"/>
    <x v="82"/>
    <s v="Brandon Anderson"/>
    <x v="4"/>
    <s v="Austin"/>
    <n v="3.5837563451776648"/>
  </r>
  <r>
    <x v="53"/>
    <x v="105"/>
    <n v="2571"/>
    <n v="16"/>
    <x v="2"/>
    <x v="4"/>
    <s v="COD"/>
    <x v="83"/>
    <s v="George Foster"/>
    <x v="4"/>
    <s v="Dallas"/>
    <n v="3.8253597821859198"/>
  </r>
  <r>
    <x v="53"/>
    <x v="105"/>
    <n v="2571"/>
    <n v="16"/>
    <x v="2"/>
    <x v="4"/>
    <s v="COD"/>
    <x v="84"/>
    <s v="Nicholas Anderson"/>
    <x v="0"/>
    <s v="Orlando"/>
    <n v="3.8253597821859198"/>
  </r>
  <r>
    <x v="53"/>
    <x v="105"/>
    <n v="2571"/>
    <n v="16"/>
    <x v="2"/>
    <x v="4"/>
    <s v="COD"/>
    <x v="85"/>
    <s v="Emily Ellison"/>
    <x v="3"/>
    <s v="Los Angeles"/>
    <n v="3.8253597821859198"/>
  </r>
  <r>
    <x v="53"/>
    <x v="106"/>
    <n v="3056"/>
    <n v="13"/>
    <x v="1"/>
    <x v="6"/>
    <s v="Credit Card"/>
    <x v="83"/>
    <s v="George Foster"/>
    <x v="4"/>
    <s v="Dallas"/>
    <n v="3.1711387434554972"/>
  </r>
  <r>
    <x v="53"/>
    <x v="106"/>
    <n v="3056"/>
    <n v="13"/>
    <x v="1"/>
    <x v="6"/>
    <s v="Credit Card"/>
    <x v="84"/>
    <s v="Nicholas Anderson"/>
    <x v="0"/>
    <s v="Orlando"/>
    <n v="3.1711387434554972"/>
  </r>
  <r>
    <x v="53"/>
    <x v="106"/>
    <n v="3056"/>
    <n v="13"/>
    <x v="1"/>
    <x v="6"/>
    <s v="Credit Card"/>
    <x v="85"/>
    <s v="Emily Ellison"/>
    <x v="3"/>
    <s v="Los Angeles"/>
    <n v="3.1711387434554972"/>
  </r>
  <r>
    <x v="53"/>
    <x v="107"/>
    <n v="1221"/>
    <n v="14"/>
    <x v="2"/>
    <x v="11"/>
    <s v="UPI"/>
    <x v="83"/>
    <s v="George Foster"/>
    <x v="4"/>
    <s v="Dallas"/>
    <n v="6.4095004095004091"/>
  </r>
  <r>
    <x v="53"/>
    <x v="107"/>
    <n v="1221"/>
    <n v="14"/>
    <x v="2"/>
    <x v="11"/>
    <s v="UPI"/>
    <x v="84"/>
    <s v="Nicholas Anderson"/>
    <x v="0"/>
    <s v="Orlando"/>
    <n v="6.4095004095004091"/>
  </r>
  <r>
    <x v="53"/>
    <x v="107"/>
    <n v="1221"/>
    <n v="14"/>
    <x v="2"/>
    <x v="11"/>
    <s v="UPI"/>
    <x v="85"/>
    <s v="Emily Ellison"/>
    <x v="3"/>
    <s v="Los Angeles"/>
    <n v="6.4095004095004091"/>
  </r>
  <r>
    <x v="54"/>
    <x v="108"/>
    <n v="241"/>
    <n v="11"/>
    <x v="2"/>
    <x v="7"/>
    <s v="COD"/>
    <x v="86"/>
    <s v="Darren Perez"/>
    <x v="4"/>
    <s v="Austin"/>
    <n v="3.195020746887967"/>
  </r>
  <r>
    <x v="54"/>
    <x v="108"/>
    <n v="241"/>
    <n v="11"/>
    <x v="2"/>
    <x v="7"/>
    <s v="COD"/>
    <x v="87"/>
    <s v="Michelle Hunter"/>
    <x v="5"/>
    <s v="Cincinnati"/>
    <n v="3.195020746887967"/>
  </r>
  <r>
    <x v="55"/>
    <x v="109"/>
    <n v="1598"/>
    <n v="20"/>
    <x v="2"/>
    <x v="11"/>
    <s v="COD"/>
    <x v="88"/>
    <s v="Janet Guerrero"/>
    <x v="2"/>
    <s v="Rochester"/>
    <n v="6.1921151439299127"/>
  </r>
  <r>
    <x v="56"/>
    <x v="110"/>
    <n v="1581"/>
    <n v="10"/>
    <x v="1"/>
    <x v="8"/>
    <s v="Debit Card"/>
    <x v="89"/>
    <s v="Jeffrey Kline"/>
    <x v="0"/>
    <s v="Miami"/>
    <n v="4.1220746363061354"/>
  </r>
  <r>
    <x v="56"/>
    <x v="110"/>
    <n v="1581"/>
    <n v="10"/>
    <x v="1"/>
    <x v="8"/>
    <s v="Debit Card"/>
    <x v="90"/>
    <s v="Ryan Bullock"/>
    <x v="0"/>
    <s v="Tampa"/>
    <n v="4.1220746363061354"/>
  </r>
  <r>
    <x v="56"/>
    <x v="94"/>
    <n v="349"/>
    <n v="11"/>
    <x v="2"/>
    <x v="4"/>
    <s v="Credit Card"/>
    <x v="89"/>
    <s v="Jeffrey Kline"/>
    <x v="0"/>
    <s v="Miami"/>
    <n v="3.3409742120343839"/>
  </r>
  <r>
    <x v="56"/>
    <x v="94"/>
    <n v="349"/>
    <n v="11"/>
    <x v="2"/>
    <x v="4"/>
    <s v="Credit Card"/>
    <x v="90"/>
    <s v="Ryan Bullock"/>
    <x v="0"/>
    <s v="Tampa"/>
    <n v="3.3409742120343839"/>
  </r>
  <r>
    <x v="57"/>
    <x v="111"/>
    <n v="793"/>
    <n v="16"/>
    <x v="2"/>
    <x v="5"/>
    <s v="Credit Card"/>
    <x v="91"/>
    <s v="Tom Lawson"/>
    <x v="2"/>
    <s v="Buffalo"/>
    <n v="12.383354350567465"/>
  </r>
  <r>
    <x v="58"/>
    <x v="112"/>
    <n v="2624"/>
    <n v="8"/>
    <x v="1"/>
    <x v="9"/>
    <s v="COD"/>
    <x v="92"/>
    <s v="Rebecca Smith"/>
    <x v="4"/>
    <s v="Dallas"/>
    <n v="3.2633384146341462"/>
  </r>
  <r>
    <x v="58"/>
    <x v="113"/>
    <n v="281"/>
    <n v="20"/>
    <x v="0"/>
    <x v="1"/>
    <s v="COD"/>
    <x v="92"/>
    <s v="Rebecca Smith"/>
    <x v="4"/>
    <s v="Dallas"/>
    <n v="15.804270462633452"/>
  </r>
  <r>
    <x v="59"/>
    <x v="114"/>
    <n v="2271"/>
    <n v="8"/>
    <x v="1"/>
    <x v="8"/>
    <s v="EMI"/>
    <x v="93"/>
    <s v="William Welch"/>
    <x v="0"/>
    <s v="Orlando"/>
    <n v="3.2320563628357553"/>
  </r>
  <r>
    <x v="59"/>
    <x v="115"/>
    <n v="1610"/>
    <n v="1"/>
    <x v="0"/>
    <x v="10"/>
    <s v="EMI"/>
    <x v="93"/>
    <s v="William Welch"/>
    <x v="0"/>
    <s v="Orlando"/>
    <n v="3.3801242236024844"/>
  </r>
  <r>
    <x v="60"/>
    <x v="116"/>
    <n v="391"/>
    <n v="14"/>
    <x v="2"/>
    <x v="4"/>
    <s v="UPI"/>
    <x v="94"/>
    <s v="Mr. Curtis Bailey"/>
    <x v="0"/>
    <s v="Tampa"/>
    <n v="4.8465473145780047"/>
  </r>
  <r>
    <x v="60"/>
    <x v="117"/>
    <n v="322"/>
    <n v="13"/>
    <x v="1"/>
    <x v="9"/>
    <s v="COD"/>
    <x v="94"/>
    <s v="Mr. Curtis Bailey"/>
    <x v="0"/>
    <s v="Tampa"/>
    <n v="16.531055900621119"/>
  </r>
  <r>
    <x v="61"/>
    <x v="118"/>
    <n v="279"/>
    <n v="13"/>
    <x v="1"/>
    <x v="6"/>
    <s v="Debit Card"/>
    <x v="95"/>
    <s v="Janet Carlson"/>
    <x v="0"/>
    <s v="Miami"/>
    <n v="31.72043010752688"/>
  </r>
  <r>
    <x v="61"/>
    <x v="119"/>
    <n v="1266"/>
    <n v="6"/>
    <x v="1"/>
    <x v="8"/>
    <s v="Debit Card"/>
    <x v="95"/>
    <s v="Janet Carlson"/>
    <x v="0"/>
    <s v="Miami"/>
    <n v="6.8459715639810428"/>
  </r>
  <r>
    <x v="62"/>
    <x v="120"/>
    <n v="105"/>
    <n v="1"/>
    <x v="2"/>
    <x v="4"/>
    <s v="COD"/>
    <x v="96"/>
    <s v="Spencer Spears"/>
    <x v="1"/>
    <s v="Chicago"/>
    <n v="65.742857142857147"/>
  </r>
  <r>
    <x v="62"/>
    <x v="121"/>
    <n v="3010"/>
    <n v="7"/>
    <x v="1"/>
    <x v="2"/>
    <s v="COD"/>
    <x v="96"/>
    <s v="Spencer Spears"/>
    <x v="1"/>
    <s v="Chicago"/>
    <n v="2.9212624584717606"/>
  </r>
  <r>
    <x v="63"/>
    <x v="122"/>
    <n v="4812"/>
    <n v="16"/>
    <x v="1"/>
    <x v="8"/>
    <s v="UPI"/>
    <x v="97"/>
    <s v="Jeffrey Middleton"/>
    <x v="2"/>
    <s v="Buffalo"/>
    <n v="2.0538237738985869"/>
  </r>
  <r>
    <x v="63"/>
    <x v="122"/>
    <n v="4812"/>
    <n v="16"/>
    <x v="1"/>
    <x v="8"/>
    <s v="UPI"/>
    <x v="98"/>
    <s v="Veronica Kelley"/>
    <x v="0"/>
    <s v="Orlando"/>
    <n v="2.0538237738985869"/>
  </r>
  <r>
    <x v="63"/>
    <x v="122"/>
    <n v="4812"/>
    <n v="16"/>
    <x v="1"/>
    <x v="8"/>
    <s v="UPI"/>
    <x v="99"/>
    <s v="Leslie Bean"/>
    <x v="1"/>
    <s v="Springfield"/>
    <n v="2.0538237738985869"/>
  </r>
  <r>
    <x v="63"/>
    <x v="123"/>
    <n v="1185"/>
    <n v="7"/>
    <x v="1"/>
    <x v="8"/>
    <s v="UPI"/>
    <x v="97"/>
    <s v="Jeffrey Middleton"/>
    <x v="2"/>
    <s v="Buffalo"/>
    <n v="4.3966244725738397"/>
  </r>
  <r>
    <x v="63"/>
    <x v="123"/>
    <n v="1185"/>
    <n v="7"/>
    <x v="1"/>
    <x v="8"/>
    <s v="UPI"/>
    <x v="98"/>
    <s v="Veronica Kelley"/>
    <x v="0"/>
    <s v="Orlando"/>
    <n v="4.3966244725738397"/>
  </r>
  <r>
    <x v="63"/>
    <x v="123"/>
    <n v="1185"/>
    <n v="7"/>
    <x v="1"/>
    <x v="8"/>
    <s v="UPI"/>
    <x v="99"/>
    <s v="Leslie Bean"/>
    <x v="1"/>
    <s v="Springfield"/>
    <n v="4.3966244725738397"/>
  </r>
  <r>
    <x v="64"/>
    <x v="124"/>
    <n v="851"/>
    <n v="4"/>
    <x v="0"/>
    <x v="1"/>
    <s v="Credit Card"/>
    <x v="47"/>
    <s v="Amy Wilson"/>
    <x v="3"/>
    <s v="Los Angeles"/>
    <n v="4.1997649823736785"/>
  </r>
  <r>
    <x v="64"/>
    <x v="125"/>
    <n v="76"/>
    <n v="13"/>
    <x v="2"/>
    <x v="7"/>
    <s v="UPI"/>
    <x v="47"/>
    <s v="Amy Wilson"/>
    <x v="3"/>
    <s v="Los Angeles"/>
    <n v="7.5789473684210522"/>
  </r>
  <r>
    <x v="65"/>
    <x v="126"/>
    <n v="457"/>
    <n v="13"/>
    <x v="0"/>
    <x v="1"/>
    <s v="EMI"/>
    <x v="100"/>
    <s v="Susan Ramirez"/>
    <x v="5"/>
    <s v="Cleveland"/>
    <n v="4.0700218818380742"/>
  </r>
  <r>
    <x v="66"/>
    <x v="127"/>
    <n v="374"/>
    <n v="8"/>
    <x v="1"/>
    <x v="2"/>
    <s v="EMI"/>
    <x v="101"/>
    <s v="Jacob Meyer"/>
    <x v="1"/>
    <s v="Peoria"/>
    <n v="2.0909090909090908"/>
  </r>
  <r>
    <x v="66"/>
    <x v="128"/>
    <n v="1852"/>
    <n v="1"/>
    <x v="0"/>
    <x v="3"/>
    <s v="UPI"/>
    <x v="101"/>
    <s v="Jacob Meyer"/>
    <x v="1"/>
    <s v="Peoria"/>
    <n v="2.3601511879049677"/>
  </r>
  <r>
    <x v="67"/>
    <x v="129"/>
    <n v="1176"/>
    <n v="1"/>
    <x v="0"/>
    <x v="10"/>
    <s v="COD"/>
    <x v="102"/>
    <s v="Scott Lewis"/>
    <x v="4"/>
    <s v="Houston"/>
    <n v="7.0969387755102042"/>
  </r>
  <r>
    <x v="67"/>
    <x v="129"/>
    <n v="1176"/>
    <n v="1"/>
    <x v="0"/>
    <x v="10"/>
    <s v="COD"/>
    <x v="103"/>
    <s v="Eric Griffith"/>
    <x v="1"/>
    <s v="Chicago"/>
    <n v="7.0969387755102042"/>
  </r>
  <r>
    <x v="67"/>
    <x v="129"/>
    <n v="1176"/>
    <n v="1"/>
    <x v="0"/>
    <x v="10"/>
    <s v="COD"/>
    <x v="104"/>
    <s v="Anna Ferguson"/>
    <x v="3"/>
    <s v="San Francisco"/>
    <n v="7.0969387755102042"/>
  </r>
  <r>
    <x v="67"/>
    <x v="130"/>
    <n v="1125"/>
    <n v="5"/>
    <x v="2"/>
    <x v="4"/>
    <s v="Debit Card"/>
    <x v="102"/>
    <s v="Scott Lewis"/>
    <x v="4"/>
    <s v="Houston"/>
    <n v="5.5271111111111111"/>
  </r>
  <r>
    <x v="67"/>
    <x v="130"/>
    <n v="1125"/>
    <n v="5"/>
    <x v="2"/>
    <x v="4"/>
    <s v="Debit Card"/>
    <x v="103"/>
    <s v="Eric Griffith"/>
    <x v="1"/>
    <s v="Chicago"/>
    <n v="5.5271111111111111"/>
  </r>
  <r>
    <x v="67"/>
    <x v="130"/>
    <n v="1125"/>
    <n v="5"/>
    <x v="2"/>
    <x v="4"/>
    <s v="Debit Card"/>
    <x v="104"/>
    <s v="Anna Ferguson"/>
    <x v="3"/>
    <s v="San Francisco"/>
    <n v="5.5271111111111111"/>
  </r>
  <r>
    <x v="67"/>
    <x v="131"/>
    <n v="253"/>
    <n v="14"/>
    <x v="0"/>
    <x v="1"/>
    <s v="Credit Card"/>
    <x v="102"/>
    <s v="Scott Lewis"/>
    <x v="4"/>
    <s v="Houston"/>
    <n v="20.42292490118577"/>
  </r>
  <r>
    <x v="67"/>
    <x v="131"/>
    <n v="253"/>
    <n v="14"/>
    <x v="0"/>
    <x v="1"/>
    <s v="Credit Card"/>
    <x v="103"/>
    <s v="Eric Griffith"/>
    <x v="1"/>
    <s v="Chicago"/>
    <n v="20.42292490118577"/>
  </r>
  <r>
    <x v="67"/>
    <x v="131"/>
    <n v="253"/>
    <n v="14"/>
    <x v="0"/>
    <x v="1"/>
    <s v="Credit Card"/>
    <x v="104"/>
    <s v="Anna Ferguson"/>
    <x v="3"/>
    <s v="San Francisco"/>
    <n v="20.42292490118577"/>
  </r>
  <r>
    <x v="67"/>
    <x v="132"/>
    <n v="1239"/>
    <n v="5"/>
    <x v="2"/>
    <x v="7"/>
    <s v="Debit Card"/>
    <x v="102"/>
    <s v="Scott Lewis"/>
    <x v="4"/>
    <s v="Houston"/>
    <n v="2.2590799031476996"/>
  </r>
  <r>
    <x v="67"/>
    <x v="132"/>
    <n v="1239"/>
    <n v="5"/>
    <x v="2"/>
    <x v="7"/>
    <s v="Debit Card"/>
    <x v="103"/>
    <s v="Eric Griffith"/>
    <x v="1"/>
    <s v="Chicago"/>
    <n v="2.2590799031476996"/>
  </r>
  <r>
    <x v="67"/>
    <x v="132"/>
    <n v="1239"/>
    <n v="5"/>
    <x v="2"/>
    <x v="7"/>
    <s v="Debit Card"/>
    <x v="104"/>
    <s v="Anna Ferguson"/>
    <x v="3"/>
    <s v="San Francisco"/>
    <n v="2.2590799031476996"/>
  </r>
  <r>
    <x v="68"/>
    <x v="133"/>
    <n v="1029"/>
    <n v="20"/>
    <x v="1"/>
    <x v="6"/>
    <s v="Credit Card"/>
    <x v="105"/>
    <s v="David Figueroa"/>
    <x v="0"/>
    <s v="Miami"/>
    <n v="3.1428571428571428"/>
  </r>
  <r>
    <x v="69"/>
    <x v="134"/>
    <n v="775"/>
    <n v="12"/>
    <x v="2"/>
    <x v="4"/>
    <s v="Debit Card"/>
    <x v="106"/>
    <s v="Theresa Medina"/>
    <x v="1"/>
    <s v="Springfield"/>
    <n v="6.3483870967741938"/>
  </r>
  <r>
    <x v="69"/>
    <x v="135"/>
    <n v="2213"/>
    <n v="15"/>
    <x v="2"/>
    <x v="11"/>
    <s v="EMI"/>
    <x v="106"/>
    <s v="Theresa Medina"/>
    <x v="1"/>
    <s v="Springfield"/>
    <n v="4.1021238138273839"/>
  </r>
  <r>
    <x v="70"/>
    <x v="136"/>
    <n v="3826"/>
    <n v="7"/>
    <x v="2"/>
    <x v="11"/>
    <s v="UPI"/>
    <x v="107"/>
    <s v="Mary Smith"/>
    <x v="0"/>
    <s v="Miami"/>
    <n v="2.2441191845269213"/>
  </r>
  <r>
    <x v="70"/>
    <x v="136"/>
    <n v="3826"/>
    <n v="7"/>
    <x v="2"/>
    <x v="11"/>
    <s v="UPI"/>
    <x v="108"/>
    <s v="Lance Cain"/>
    <x v="0"/>
    <s v="Tampa"/>
    <n v="2.2441191845269213"/>
  </r>
  <r>
    <x v="71"/>
    <x v="137"/>
    <n v="2211"/>
    <n v="13"/>
    <x v="2"/>
    <x v="7"/>
    <s v="EMI"/>
    <x v="109"/>
    <s v="Alexandra Moran"/>
    <x v="3"/>
    <s v="San Francisco"/>
    <n v="2.2826775214834916"/>
  </r>
  <r>
    <x v="71"/>
    <x v="137"/>
    <n v="2211"/>
    <n v="13"/>
    <x v="2"/>
    <x v="7"/>
    <s v="EMI"/>
    <x v="110"/>
    <s v="Sara Castro"/>
    <x v="1"/>
    <s v="Chicago"/>
    <n v="2.2826775214834916"/>
  </r>
  <r>
    <x v="71"/>
    <x v="137"/>
    <n v="2211"/>
    <n v="13"/>
    <x v="2"/>
    <x v="7"/>
    <s v="EMI"/>
    <x v="111"/>
    <s v="Shawn Leach"/>
    <x v="1"/>
    <s v="Peoria"/>
    <n v="2.2826775214834916"/>
  </r>
  <r>
    <x v="71"/>
    <x v="137"/>
    <n v="2211"/>
    <n v="13"/>
    <x v="2"/>
    <x v="7"/>
    <s v="EMI"/>
    <x v="112"/>
    <s v="Mark Boyle"/>
    <x v="2"/>
    <s v="Buffalo"/>
    <n v="2.2826775214834916"/>
  </r>
  <r>
    <x v="72"/>
    <x v="138"/>
    <n v="163"/>
    <n v="1"/>
    <x v="2"/>
    <x v="7"/>
    <s v="UPI"/>
    <x v="113"/>
    <s v="John Stevens"/>
    <x v="3"/>
    <s v="San Francisco"/>
    <n v="22.435582822085891"/>
  </r>
  <r>
    <x v="73"/>
    <x v="139"/>
    <n v="2842"/>
    <n v="18"/>
    <x v="0"/>
    <x v="0"/>
    <s v="UPI"/>
    <x v="114"/>
    <s v="Lisa Graham"/>
    <x v="1"/>
    <s v="Peoria"/>
    <n v="2.2769176636171711"/>
  </r>
  <r>
    <x v="74"/>
    <x v="140"/>
    <n v="301"/>
    <n v="9"/>
    <x v="1"/>
    <x v="9"/>
    <s v="UPI"/>
    <x v="115"/>
    <s v="Nancy Jones"/>
    <x v="5"/>
    <s v="Cleveland"/>
    <n v="3.1528239202657806"/>
  </r>
  <r>
    <x v="74"/>
    <x v="141"/>
    <n v="771"/>
    <n v="6"/>
    <x v="1"/>
    <x v="9"/>
    <s v="EMI"/>
    <x v="115"/>
    <s v="Nancy Jones"/>
    <x v="5"/>
    <s v="Cleveland"/>
    <n v="8.8495460440985738"/>
  </r>
  <r>
    <x v="74"/>
    <x v="142"/>
    <n v="831"/>
    <n v="2"/>
    <x v="2"/>
    <x v="4"/>
    <s v="EMI"/>
    <x v="115"/>
    <s v="Nancy Jones"/>
    <x v="5"/>
    <s v="Cleveland"/>
    <n v="5.2515042117930202"/>
  </r>
  <r>
    <x v="75"/>
    <x v="143"/>
    <n v="2797"/>
    <n v="10"/>
    <x v="0"/>
    <x v="10"/>
    <s v="UPI"/>
    <x v="116"/>
    <s v="Darryl Robbins"/>
    <x v="1"/>
    <s v="Peoria"/>
    <n v="2.3850554165176976"/>
  </r>
  <r>
    <x v="76"/>
    <x v="144"/>
    <n v="1037"/>
    <n v="3"/>
    <x v="1"/>
    <x v="8"/>
    <s v="COD"/>
    <x v="117"/>
    <s v="Kimberly Smith"/>
    <x v="1"/>
    <s v="Springfield"/>
    <n v="7.2054001928640306"/>
  </r>
  <r>
    <x v="76"/>
    <x v="145"/>
    <n v="1806"/>
    <n v="9"/>
    <x v="0"/>
    <x v="1"/>
    <s v="COD"/>
    <x v="117"/>
    <s v="Kimberly Smith"/>
    <x v="1"/>
    <s v="Springfield"/>
    <n v="5.2868217054263562"/>
  </r>
  <r>
    <x v="77"/>
    <x v="146"/>
    <n v="3741"/>
    <n v="17"/>
    <x v="0"/>
    <x v="1"/>
    <s v="UPI"/>
    <x v="118"/>
    <s v="Maria Thomas"/>
    <x v="0"/>
    <s v="Miami"/>
    <n v="2.074044373162256"/>
  </r>
  <r>
    <x v="77"/>
    <x v="146"/>
    <n v="3741"/>
    <n v="17"/>
    <x v="0"/>
    <x v="1"/>
    <s v="UPI"/>
    <x v="119"/>
    <s v="Nicholas Johnson"/>
    <x v="4"/>
    <s v="Dallas"/>
    <n v="2.074044373162256"/>
  </r>
  <r>
    <x v="77"/>
    <x v="147"/>
    <n v="3457"/>
    <n v="16"/>
    <x v="1"/>
    <x v="6"/>
    <s v="Debit Card"/>
    <x v="118"/>
    <s v="Maria Thomas"/>
    <x v="0"/>
    <s v="Miami"/>
    <n v="2.1755857680069424"/>
  </r>
  <r>
    <x v="77"/>
    <x v="147"/>
    <n v="3457"/>
    <n v="16"/>
    <x v="1"/>
    <x v="6"/>
    <s v="Debit Card"/>
    <x v="119"/>
    <s v="Nicholas Johnson"/>
    <x v="4"/>
    <s v="Dallas"/>
    <n v="2.1755857680069424"/>
  </r>
  <r>
    <x v="78"/>
    <x v="148"/>
    <n v="4339"/>
    <n v="12"/>
    <x v="1"/>
    <x v="2"/>
    <s v="COD"/>
    <x v="120"/>
    <s v="Dawn Howard"/>
    <x v="4"/>
    <s v="Houston"/>
    <n v="2.2364600138280708"/>
  </r>
  <r>
    <x v="78"/>
    <x v="149"/>
    <n v="2356"/>
    <n v="18"/>
    <x v="0"/>
    <x v="1"/>
    <s v="Debit Card"/>
    <x v="120"/>
    <s v="Dawn Howard"/>
    <x v="4"/>
    <s v="Houston"/>
    <n v="2.1001697792869272"/>
  </r>
  <r>
    <x v="78"/>
    <x v="150"/>
    <n v="334"/>
    <n v="10"/>
    <x v="0"/>
    <x v="0"/>
    <s v="Debit Card"/>
    <x v="120"/>
    <s v="Dawn Howard"/>
    <x v="4"/>
    <s v="Houston"/>
    <n v="19.266467065868262"/>
  </r>
  <r>
    <x v="79"/>
    <x v="151"/>
    <n v="3033"/>
    <n v="16"/>
    <x v="1"/>
    <x v="6"/>
    <s v="COD"/>
    <x v="121"/>
    <s v="Jennifer Marshall"/>
    <x v="3"/>
    <s v="San Francisco"/>
    <n v="3.285525881965051"/>
  </r>
  <r>
    <x v="79"/>
    <x v="151"/>
    <n v="3033"/>
    <n v="16"/>
    <x v="1"/>
    <x v="6"/>
    <s v="COD"/>
    <x v="122"/>
    <s v="Frank Garcia"/>
    <x v="2"/>
    <s v="Buffalo"/>
    <n v="3.285525881965051"/>
  </r>
  <r>
    <x v="80"/>
    <x v="152"/>
    <n v="234"/>
    <n v="3"/>
    <x v="2"/>
    <x v="7"/>
    <s v="UPI"/>
    <x v="123"/>
    <s v="Terri Madden"/>
    <x v="2"/>
    <s v="Rochester"/>
    <n v="6.5085470085470085"/>
  </r>
  <r>
    <x v="80"/>
    <x v="153"/>
    <n v="424"/>
    <n v="7"/>
    <x v="0"/>
    <x v="0"/>
    <s v="Debit Card"/>
    <x v="123"/>
    <s v="Terri Madden"/>
    <x v="2"/>
    <s v="Rochester"/>
    <n v="21.398584905660378"/>
  </r>
  <r>
    <x v="81"/>
    <x v="154"/>
    <n v="3079"/>
    <n v="20"/>
    <x v="0"/>
    <x v="3"/>
    <s v="COD"/>
    <x v="124"/>
    <s v="James Gutierrez"/>
    <x v="2"/>
    <s v="Rochester"/>
    <n v="2.0938616433907113"/>
  </r>
  <r>
    <x v="81"/>
    <x v="155"/>
    <n v="2807"/>
    <n v="6"/>
    <x v="0"/>
    <x v="0"/>
    <s v="Credit Card"/>
    <x v="124"/>
    <s v="James Gutierrez"/>
    <x v="2"/>
    <s v="Rochester"/>
    <n v="3.1873886711791948"/>
  </r>
  <r>
    <x v="82"/>
    <x v="156"/>
    <n v="400"/>
    <n v="8"/>
    <x v="1"/>
    <x v="2"/>
    <s v="Debit Card"/>
    <x v="125"/>
    <s v="Morgan Sellers"/>
    <x v="3"/>
    <s v="Los Angeles"/>
    <n v="2.2850000000000001"/>
  </r>
  <r>
    <x v="82"/>
    <x v="157"/>
    <n v="666"/>
    <n v="3"/>
    <x v="1"/>
    <x v="8"/>
    <s v="Credit Card"/>
    <x v="125"/>
    <s v="Morgan Sellers"/>
    <x v="3"/>
    <s v="Los Angeles"/>
    <n v="2.3243243243243241"/>
  </r>
  <r>
    <x v="83"/>
    <x v="158"/>
    <n v="1149"/>
    <n v="6"/>
    <x v="2"/>
    <x v="4"/>
    <s v="Credit Card"/>
    <x v="1"/>
    <s v="Caitlin Thomas"/>
    <x v="2"/>
    <s v="New York City"/>
    <n v="2.4012184508268057"/>
  </r>
  <r>
    <x v="84"/>
    <x v="159"/>
    <n v="615"/>
    <n v="4"/>
    <x v="0"/>
    <x v="3"/>
    <s v="UPI"/>
    <x v="126"/>
    <s v="Kimberly Greene"/>
    <x v="0"/>
    <s v="Orlando"/>
    <n v="2.1804878048780489"/>
  </r>
  <r>
    <x v="85"/>
    <x v="160"/>
    <n v="2669"/>
    <n v="19"/>
    <x v="0"/>
    <x v="0"/>
    <s v="Debit Card"/>
    <x v="127"/>
    <s v="Tammy Anthony"/>
    <x v="5"/>
    <s v="Cleveland"/>
    <n v="3.6908954664668414"/>
  </r>
  <r>
    <x v="85"/>
    <x v="160"/>
    <n v="2669"/>
    <n v="19"/>
    <x v="0"/>
    <x v="0"/>
    <s v="Debit Card"/>
    <x v="128"/>
    <s v="Jennifer Chase"/>
    <x v="2"/>
    <s v="Buffalo"/>
    <n v="3.6908954664668414"/>
  </r>
  <r>
    <x v="85"/>
    <x v="160"/>
    <n v="2669"/>
    <n v="19"/>
    <x v="0"/>
    <x v="0"/>
    <s v="Debit Card"/>
    <x v="129"/>
    <s v="Cassandra Farley"/>
    <x v="0"/>
    <s v="Orlando"/>
    <n v="3.6908954664668414"/>
  </r>
  <r>
    <x v="85"/>
    <x v="161"/>
    <n v="3930"/>
    <n v="14"/>
    <x v="2"/>
    <x v="4"/>
    <s v="Debit Card"/>
    <x v="127"/>
    <s v="Tammy Anthony"/>
    <x v="5"/>
    <s v="Cleveland"/>
    <n v="2.5417302798982186"/>
  </r>
  <r>
    <x v="85"/>
    <x v="161"/>
    <n v="3930"/>
    <n v="14"/>
    <x v="2"/>
    <x v="4"/>
    <s v="Debit Card"/>
    <x v="128"/>
    <s v="Jennifer Chase"/>
    <x v="2"/>
    <s v="Buffalo"/>
    <n v="2.5417302798982186"/>
  </r>
  <r>
    <x v="85"/>
    <x v="161"/>
    <n v="3930"/>
    <n v="14"/>
    <x v="2"/>
    <x v="4"/>
    <s v="Debit Card"/>
    <x v="129"/>
    <s v="Cassandra Farley"/>
    <x v="0"/>
    <s v="Orlando"/>
    <n v="2.5417302798982186"/>
  </r>
  <r>
    <x v="86"/>
    <x v="162"/>
    <n v="958"/>
    <n v="10"/>
    <x v="2"/>
    <x v="4"/>
    <s v="COD"/>
    <x v="130"/>
    <s v="Justin Vasquez"/>
    <x v="4"/>
    <s v="Houston"/>
    <n v="7.7463465553235906"/>
  </r>
  <r>
    <x v="86"/>
    <x v="162"/>
    <n v="958"/>
    <n v="10"/>
    <x v="2"/>
    <x v="4"/>
    <s v="COD"/>
    <x v="39"/>
    <s v="Melissa Morales"/>
    <x v="4"/>
    <s v="Houston"/>
    <n v="7.7463465553235906"/>
  </r>
  <r>
    <x v="86"/>
    <x v="162"/>
    <n v="958"/>
    <n v="10"/>
    <x v="2"/>
    <x v="4"/>
    <s v="COD"/>
    <x v="131"/>
    <s v="Tyler Thompson"/>
    <x v="4"/>
    <s v="Dallas"/>
    <n v="7.7463465553235906"/>
  </r>
  <r>
    <x v="87"/>
    <x v="163"/>
    <n v="479"/>
    <n v="1"/>
    <x v="1"/>
    <x v="8"/>
    <s v="COD"/>
    <x v="19"/>
    <s v="Heidi Davis"/>
    <x v="2"/>
    <s v="Buffalo"/>
    <n v="6.4697286012526094"/>
  </r>
  <r>
    <x v="87"/>
    <x v="164"/>
    <n v="906"/>
    <n v="7"/>
    <x v="0"/>
    <x v="10"/>
    <s v="COD"/>
    <x v="19"/>
    <s v="Heidi Davis"/>
    <x v="2"/>
    <s v="Buffalo"/>
    <n v="2.7825607064017661"/>
  </r>
  <r>
    <x v="88"/>
    <x v="165"/>
    <n v="3429"/>
    <n v="12"/>
    <x v="0"/>
    <x v="0"/>
    <s v="UPI"/>
    <x v="132"/>
    <s v="Charles Lane"/>
    <x v="4"/>
    <s v="Dallas"/>
    <n v="2.0303295421405658"/>
  </r>
  <r>
    <x v="88"/>
    <x v="165"/>
    <n v="3429"/>
    <n v="12"/>
    <x v="0"/>
    <x v="0"/>
    <s v="UPI"/>
    <x v="133"/>
    <s v="Joyce Good MD"/>
    <x v="0"/>
    <s v="Miami"/>
    <n v="2.0303295421405658"/>
  </r>
  <r>
    <x v="89"/>
    <x v="166"/>
    <n v="301"/>
    <n v="20"/>
    <x v="2"/>
    <x v="11"/>
    <s v="UPI"/>
    <x v="134"/>
    <s v="Maria Miller"/>
    <x v="2"/>
    <s v="Buffalo"/>
    <n v="3.6046511627906979"/>
  </r>
  <r>
    <x v="90"/>
    <x v="167"/>
    <n v="342"/>
    <n v="2"/>
    <x v="2"/>
    <x v="5"/>
    <s v="Debit Card"/>
    <x v="135"/>
    <s v="Terry Mcdaniel"/>
    <x v="5"/>
    <s v="Cincinnati"/>
    <n v="2.1578947368421053"/>
  </r>
  <r>
    <x v="90"/>
    <x v="167"/>
    <n v="342"/>
    <n v="2"/>
    <x v="2"/>
    <x v="5"/>
    <s v="Debit Card"/>
    <x v="136"/>
    <s v="Lisa Jacobs"/>
    <x v="2"/>
    <s v="Buffalo"/>
    <n v="2.1578947368421053"/>
  </r>
  <r>
    <x v="90"/>
    <x v="167"/>
    <n v="342"/>
    <n v="2"/>
    <x v="2"/>
    <x v="5"/>
    <s v="Debit Card"/>
    <x v="137"/>
    <s v="Jeff Duncan"/>
    <x v="5"/>
    <s v="Cincinnati"/>
    <n v="2.1578947368421053"/>
  </r>
  <r>
    <x v="90"/>
    <x v="167"/>
    <n v="342"/>
    <n v="2"/>
    <x v="2"/>
    <x v="5"/>
    <s v="Debit Card"/>
    <x v="138"/>
    <s v="Pamela Jones"/>
    <x v="2"/>
    <s v="New York City"/>
    <n v="2.1578947368421053"/>
  </r>
  <r>
    <x v="91"/>
    <x v="168"/>
    <n v="242"/>
    <n v="17"/>
    <x v="0"/>
    <x v="0"/>
    <s v="EMI"/>
    <x v="139"/>
    <s v="Renee Robinson"/>
    <x v="5"/>
    <s v="Columbus"/>
    <n v="5.6446280991735538"/>
  </r>
  <r>
    <x v="91"/>
    <x v="169"/>
    <n v="155"/>
    <n v="13"/>
    <x v="1"/>
    <x v="6"/>
    <s v="Credit Card"/>
    <x v="139"/>
    <s v="Renee Robinson"/>
    <x v="5"/>
    <s v="Columbus"/>
    <n v="9.7935483870967737"/>
  </r>
  <r>
    <x v="92"/>
    <x v="170"/>
    <n v="1470"/>
    <n v="1"/>
    <x v="0"/>
    <x v="10"/>
    <s v="COD"/>
    <x v="140"/>
    <s v="Jessica Kidd"/>
    <x v="2"/>
    <s v="Buffalo"/>
    <n v="2.0149659863945577"/>
  </r>
  <r>
    <x v="92"/>
    <x v="170"/>
    <n v="1470"/>
    <n v="1"/>
    <x v="0"/>
    <x v="10"/>
    <s v="COD"/>
    <x v="141"/>
    <s v="Nicholas Martin"/>
    <x v="0"/>
    <s v="Tampa"/>
    <n v="2.0149659863945577"/>
  </r>
  <r>
    <x v="92"/>
    <x v="171"/>
    <n v="718"/>
    <n v="12"/>
    <x v="0"/>
    <x v="1"/>
    <s v="UPI"/>
    <x v="140"/>
    <s v="Jessica Kidd"/>
    <x v="2"/>
    <s v="Buffalo"/>
    <n v="9.9317548746518103"/>
  </r>
  <r>
    <x v="92"/>
    <x v="171"/>
    <n v="718"/>
    <n v="12"/>
    <x v="0"/>
    <x v="1"/>
    <s v="UPI"/>
    <x v="141"/>
    <s v="Nicholas Martin"/>
    <x v="0"/>
    <s v="Tampa"/>
    <n v="9.9317548746518103"/>
  </r>
  <r>
    <x v="92"/>
    <x v="172"/>
    <n v="855"/>
    <n v="10"/>
    <x v="1"/>
    <x v="6"/>
    <s v="EMI"/>
    <x v="140"/>
    <s v="Jessica Kidd"/>
    <x v="2"/>
    <s v="Buffalo"/>
    <n v="4.9122807017543861"/>
  </r>
  <r>
    <x v="92"/>
    <x v="172"/>
    <n v="855"/>
    <n v="10"/>
    <x v="1"/>
    <x v="6"/>
    <s v="EMI"/>
    <x v="141"/>
    <s v="Nicholas Martin"/>
    <x v="0"/>
    <s v="Tampa"/>
    <n v="4.9122807017543861"/>
  </r>
  <r>
    <x v="93"/>
    <x v="173"/>
    <n v="1563"/>
    <n v="2"/>
    <x v="1"/>
    <x v="6"/>
    <s v="EMI"/>
    <x v="142"/>
    <s v="David Brown"/>
    <x v="1"/>
    <s v="Peoria"/>
    <n v="3.7965451055662189"/>
  </r>
  <r>
    <x v="94"/>
    <x v="174"/>
    <n v="322"/>
    <n v="11"/>
    <x v="0"/>
    <x v="1"/>
    <s v="UPI"/>
    <x v="143"/>
    <s v="Amber Moore"/>
    <x v="2"/>
    <s v="New York City"/>
    <n v="8.3881987577639752"/>
  </r>
  <r>
    <x v="94"/>
    <x v="175"/>
    <n v="2702"/>
    <n v="18"/>
    <x v="1"/>
    <x v="8"/>
    <s v="COD"/>
    <x v="143"/>
    <s v="Amber Moore"/>
    <x v="2"/>
    <s v="New York City"/>
    <n v="2.6917098445595853"/>
  </r>
  <r>
    <x v="95"/>
    <x v="176"/>
    <n v="699"/>
    <n v="18"/>
    <x v="1"/>
    <x v="6"/>
    <s v="Debit Card"/>
    <x v="144"/>
    <s v="James Williams"/>
    <x v="3"/>
    <s v="San Francisco"/>
    <n v="3.5264663805436336"/>
  </r>
  <r>
    <x v="96"/>
    <x v="177"/>
    <n v="1087"/>
    <n v="2"/>
    <x v="1"/>
    <x v="6"/>
    <s v="EMI"/>
    <x v="145"/>
    <s v="Karina Barr"/>
    <x v="4"/>
    <s v="Dallas"/>
    <n v="3.2005519779208833"/>
  </r>
  <r>
    <x v="96"/>
    <x v="178"/>
    <n v="1765"/>
    <n v="7"/>
    <x v="0"/>
    <x v="1"/>
    <s v="EMI"/>
    <x v="145"/>
    <s v="Karina Barr"/>
    <x v="4"/>
    <s v="Dallas"/>
    <n v="3.091784702549575"/>
  </r>
  <r>
    <x v="97"/>
    <x v="179"/>
    <n v="1152"/>
    <n v="8"/>
    <x v="1"/>
    <x v="6"/>
    <s v="Credit Card"/>
    <x v="146"/>
    <s v="Meghan Rush"/>
    <x v="5"/>
    <s v="Cleveland"/>
    <n v="4.3029513888888893"/>
  </r>
  <r>
    <x v="98"/>
    <x v="180"/>
    <n v="858"/>
    <n v="17"/>
    <x v="1"/>
    <x v="2"/>
    <s v="Debit Card"/>
    <x v="147"/>
    <s v="Bianca Brown"/>
    <x v="5"/>
    <s v="Columbus"/>
    <n v="5.1328671328671325"/>
  </r>
  <r>
    <x v="98"/>
    <x v="181"/>
    <n v="2529"/>
    <n v="15"/>
    <x v="2"/>
    <x v="7"/>
    <s v="Credit Card"/>
    <x v="147"/>
    <s v="Bianca Brown"/>
    <x v="5"/>
    <s v="Columbus"/>
    <n v="3.4701463028865165"/>
  </r>
  <r>
    <x v="99"/>
    <x v="182"/>
    <n v="1437"/>
    <n v="9"/>
    <x v="0"/>
    <x v="10"/>
    <s v="UPI"/>
    <x v="148"/>
    <s v="Timothy Jensen"/>
    <x v="0"/>
    <s v="Orlando"/>
    <n v="6.6360473208072372"/>
  </r>
  <r>
    <x v="99"/>
    <x v="183"/>
    <n v="589"/>
    <n v="7"/>
    <x v="2"/>
    <x v="7"/>
    <s v="Credit Card"/>
    <x v="148"/>
    <s v="Timothy Jensen"/>
    <x v="0"/>
    <s v="Orlando"/>
    <n v="3.7775891341256367"/>
  </r>
  <r>
    <x v="100"/>
    <x v="184"/>
    <n v="4045"/>
    <n v="19"/>
    <x v="2"/>
    <x v="11"/>
    <s v="UPI"/>
    <x v="149"/>
    <s v="Melinda Montoya"/>
    <x v="3"/>
    <s v="San Francisco"/>
    <n v="2.3668726823238564"/>
  </r>
  <r>
    <x v="100"/>
    <x v="185"/>
    <n v="482"/>
    <n v="17"/>
    <x v="0"/>
    <x v="0"/>
    <s v="COD"/>
    <x v="149"/>
    <s v="Melinda Montoya"/>
    <x v="3"/>
    <s v="San Francisco"/>
    <n v="9.0912863070539416"/>
  </r>
  <r>
    <x v="101"/>
    <x v="186"/>
    <n v="257"/>
    <n v="19"/>
    <x v="0"/>
    <x v="3"/>
    <s v="COD"/>
    <x v="150"/>
    <s v="Tammy Bell"/>
    <x v="5"/>
    <s v="Cincinnati"/>
    <n v="31.906614785992218"/>
  </r>
  <r>
    <x v="101"/>
    <x v="187"/>
    <n v="3003"/>
    <n v="13"/>
    <x v="2"/>
    <x v="7"/>
    <s v="Credit Card"/>
    <x v="150"/>
    <s v="Tammy Bell"/>
    <x v="5"/>
    <s v="Cincinnati"/>
    <n v="3.1022311022311024"/>
  </r>
  <r>
    <x v="101"/>
    <x v="188"/>
    <n v="3128"/>
    <n v="15"/>
    <x v="0"/>
    <x v="0"/>
    <s v="COD"/>
    <x v="150"/>
    <s v="Tammy Bell"/>
    <x v="5"/>
    <s v="Cincinnati"/>
    <n v="2.039322250639386"/>
  </r>
  <r>
    <x v="102"/>
    <x v="189"/>
    <n v="568"/>
    <n v="5"/>
    <x v="1"/>
    <x v="6"/>
    <s v="Credit Card"/>
    <x v="151"/>
    <s v="Connie Richards"/>
    <x v="5"/>
    <s v="Cleveland"/>
    <n v="5.894366197183099"/>
  </r>
  <r>
    <x v="102"/>
    <x v="189"/>
    <n v="568"/>
    <n v="5"/>
    <x v="1"/>
    <x v="6"/>
    <s v="Credit Card"/>
    <x v="152"/>
    <s v="Peter Ward"/>
    <x v="2"/>
    <s v="Rochester"/>
    <n v="5.894366197183099"/>
  </r>
  <r>
    <x v="102"/>
    <x v="190"/>
    <n v="2020"/>
    <n v="9"/>
    <x v="1"/>
    <x v="2"/>
    <s v="Debit Card"/>
    <x v="151"/>
    <s v="Connie Richards"/>
    <x v="5"/>
    <s v="Cleveland"/>
    <n v="4.3841584158415845"/>
  </r>
  <r>
    <x v="102"/>
    <x v="190"/>
    <n v="2020"/>
    <n v="9"/>
    <x v="1"/>
    <x v="2"/>
    <s v="Debit Card"/>
    <x v="152"/>
    <s v="Peter Ward"/>
    <x v="2"/>
    <s v="Rochester"/>
    <n v="4.3841584158415845"/>
  </r>
  <r>
    <x v="103"/>
    <x v="191"/>
    <n v="619"/>
    <n v="16"/>
    <x v="2"/>
    <x v="7"/>
    <s v="Debit Card"/>
    <x v="153"/>
    <s v="Jonathan Alvarez"/>
    <x v="5"/>
    <s v="Columbus"/>
    <n v="2.8432956381260097"/>
  </r>
  <r>
    <x v="103"/>
    <x v="191"/>
    <n v="619"/>
    <n v="16"/>
    <x v="2"/>
    <x v="7"/>
    <s v="Debit Card"/>
    <x v="154"/>
    <s v="Becky Hodges"/>
    <x v="4"/>
    <s v="Houston"/>
    <n v="2.8432956381260097"/>
  </r>
  <r>
    <x v="103"/>
    <x v="192"/>
    <n v="986"/>
    <n v="15"/>
    <x v="0"/>
    <x v="1"/>
    <s v="UPI"/>
    <x v="153"/>
    <s v="Jonathan Alvarez"/>
    <x v="5"/>
    <s v="Columbus"/>
    <n v="6.4411764705882355"/>
  </r>
  <r>
    <x v="103"/>
    <x v="192"/>
    <n v="986"/>
    <n v="15"/>
    <x v="0"/>
    <x v="1"/>
    <s v="UPI"/>
    <x v="154"/>
    <s v="Becky Hodges"/>
    <x v="4"/>
    <s v="Houston"/>
    <n v="6.4411764705882355"/>
  </r>
  <r>
    <x v="104"/>
    <x v="193"/>
    <n v="373"/>
    <n v="14"/>
    <x v="1"/>
    <x v="8"/>
    <s v="Credit Card"/>
    <x v="155"/>
    <s v="Larry Hill"/>
    <x v="2"/>
    <s v="New York City"/>
    <n v="2.3297587131367292"/>
  </r>
  <r>
    <x v="104"/>
    <x v="193"/>
    <n v="373"/>
    <n v="14"/>
    <x v="1"/>
    <x v="8"/>
    <s v="Credit Card"/>
    <x v="156"/>
    <s v="Amber Moon"/>
    <x v="5"/>
    <s v="Cleveland"/>
    <n v="2.3297587131367292"/>
  </r>
  <r>
    <x v="104"/>
    <x v="194"/>
    <n v="114"/>
    <n v="7"/>
    <x v="2"/>
    <x v="11"/>
    <s v="UPI"/>
    <x v="155"/>
    <s v="Larry Hill"/>
    <x v="2"/>
    <s v="New York City"/>
    <n v="13.035087719298245"/>
  </r>
  <r>
    <x v="104"/>
    <x v="194"/>
    <n v="114"/>
    <n v="7"/>
    <x v="2"/>
    <x v="11"/>
    <s v="UPI"/>
    <x v="156"/>
    <s v="Amber Moon"/>
    <x v="5"/>
    <s v="Cleveland"/>
    <n v="13.035087719298245"/>
  </r>
  <r>
    <x v="105"/>
    <x v="195"/>
    <n v="145"/>
    <n v="13"/>
    <x v="1"/>
    <x v="9"/>
    <s v="COD"/>
    <x v="157"/>
    <s v="Cynthia Wilcox"/>
    <x v="1"/>
    <s v="Chicago"/>
    <n v="20.682758620689654"/>
  </r>
  <r>
    <x v="105"/>
    <x v="196"/>
    <n v="1916"/>
    <n v="20"/>
    <x v="1"/>
    <x v="8"/>
    <s v="EMI"/>
    <x v="157"/>
    <s v="Cynthia Wilcox"/>
    <x v="1"/>
    <s v="Chicago"/>
    <n v="2.6837160751565761"/>
  </r>
  <r>
    <x v="106"/>
    <x v="197"/>
    <n v="575"/>
    <n v="17"/>
    <x v="0"/>
    <x v="3"/>
    <s v="UPI"/>
    <x v="158"/>
    <s v="Rebecca Wright"/>
    <x v="2"/>
    <s v="Rochester"/>
    <n v="2.1547826086956521"/>
  </r>
  <r>
    <x v="106"/>
    <x v="197"/>
    <n v="575"/>
    <n v="17"/>
    <x v="0"/>
    <x v="3"/>
    <s v="UPI"/>
    <x v="159"/>
    <s v="Sarah Flores"/>
    <x v="1"/>
    <s v="Springfield"/>
    <n v="2.1547826086956521"/>
  </r>
  <r>
    <x v="106"/>
    <x v="198"/>
    <n v="515"/>
    <n v="16"/>
    <x v="0"/>
    <x v="0"/>
    <s v="EMI"/>
    <x v="158"/>
    <s v="Rebecca Wright"/>
    <x v="2"/>
    <s v="Rochester"/>
    <n v="2.4504854368932039"/>
  </r>
  <r>
    <x v="106"/>
    <x v="198"/>
    <n v="515"/>
    <n v="16"/>
    <x v="0"/>
    <x v="0"/>
    <s v="EMI"/>
    <x v="159"/>
    <s v="Sarah Flores"/>
    <x v="1"/>
    <s v="Springfield"/>
    <n v="2.4504854368932039"/>
  </r>
  <r>
    <x v="107"/>
    <x v="199"/>
    <n v="254"/>
    <n v="5"/>
    <x v="2"/>
    <x v="11"/>
    <s v="COD"/>
    <x v="160"/>
    <s v="Carol Norman"/>
    <x v="2"/>
    <s v="Rochester"/>
    <n v="4.0669291338582676"/>
  </r>
  <r>
    <x v="108"/>
    <x v="169"/>
    <n v="159"/>
    <n v="19"/>
    <x v="0"/>
    <x v="1"/>
    <s v="UPI"/>
    <x v="161"/>
    <s v="Stephanie Gardner"/>
    <x v="3"/>
    <s v="San Diego"/>
    <n v="9.5471698113207548"/>
  </r>
  <r>
    <x v="109"/>
    <x v="200"/>
    <n v="2444"/>
    <n v="2"/>
    <x v="1"/>
    <x v="8"/>
    <s v="Debit Card"/>
    <x v="162"/>
    <s v="Philip Baker"/>
    <x v="1"/>
    <s v="Peoria"/>
    <n v="3.5110474631751227"/>
  </r>
  <r>
    <x v="109"/>
    <x v="200"/>
    <n v="2444"/>
    <n v="2"/>
    <x v="1"/>
    <x v="8"/>
    <s v="Debit Card"/>
    <x v="163"/>
    <s v="Randall Dennis"/>
    <x v="0"/>
    <s v="Orlando"/>
    <n v="3.5110474631751227"/>
  </r>
  <r>
    <x v="110"/>
    <x v="201"/>
    <n v="463"/>
    <n v="5"/>
    <x v="1"/>
    <x v="2"/>
    <s v="UPI"/>
    <x v="164"/>
    <s v="Suzanne Cross"/>
    <x v="4"/>
    <s v="Austin"/>
    <n v="2.5205183585313176"/>
  </r>
  <r>
    <x v="110"/>
    <x v="202"/>
    <n v="803"/>
    <n v="20"/>
    <x v="0"/>
    <x v="3"/>
    <s v="Credit Card"/>
    <x v="164"/>
    <s v="Suzanne Cross"/>
    <x v="4"/>
    <s v="Austin"/>
    <n v="3.5379825653798256"/>
  </r>
  <r>
    <x v="110"/>
    <x v="203"/>
    <n v="2159"/>
    <n v="19"/>
    <x v="2"/>
    <x v="4"/>
    <s v="UPI"/>
    <x v="164"/>
    <s v="Suzanne Cross"/>
    <x v="4"/>
    <s v="Austin"/>
    <n v="2.6308476146364059"/>
  </r>
  <r>
    <x v="111"/>
    <x v="204"/>
    <n v="2382"/>
    <n v="6"/>
    <x v="1"/>
    <x v="2"/>
    <s v="UPI"/>
    <x v="165"/>
    <s v="Jasmine Delgado"/>
    <x v="1"/>
    <s v="Chicago"/>
    <n v="3.4441645675902604"/>
  </r>
  <r>
    <x v="111"/>
    <x v="204"/>
    <n v="2382"/>
    <n v="6"/>
    <x v="1"/>
    <x v="2"/>
    <s v="UPI"/>
    <x v="97"/>
    <s v="Kristen Harper"/>
    <x v="2"/>
    <s v="Buffalo"/>
    <n v="3.4441645675902604"/>
  </r>
  <r>
    <x v="111"/>
    <x v="205"/>
    <n v="904"/>
    <n v="6"/>
    <x v="0"/>
    <x v="10"/>
    <s v="EMI"/>
    <x v="165"/>
    <s v="Jasmine Delgado"/>
    <x v="1"/>
    <s v="Chicago"/>
    <n v="3.1526548672566372"/>
  </r>
  <r>
    <x v="111"/>
    <x v="205"/>
    <n v="904"/>
    <n v="6"/>
    <x v="0"/>
    <x v="10"/>
    <s v="EMI"/>
    <x v="97"/>
    <s v="Kristen Harper"/>
    <x v="2"/>
    <s v="Buffalo"/>
    <n v="3.1526548672566372"/>
  </r>
  <r>
    <x v="112"/>
    <x v="206"/>
    <n v="391"/>
    <n v="9"/>
    <x v="1"/>
    <x v="2"/>
    <s v="Credit Card"/>
    <x v="166"/>
    <s v="Kaitlyn Graham MD"/>
    <x v="2"/>
    <s v="New York City"/>
    <n v="2.3196930946291561"/>
  </r>
  <r>
    <x v="113"/>
    <x v="207"/>
    <n v="265"/>
    <n v="19"/>
    <x v="1"/>
    <x v="2"/>
    <s v="Credit Card"/>
    <x v="167"/>
    <s v="Dean Avila"/>
    <x v="5"/>
    <s v="Cincinnati"/>
    <n v="8.2037735849056599"/>
  </r>
  <r>
    <x v="113"/>
    <x v="208"/>
    <n v="2029"/>
    <n v="12"/>
    <x v="0"/>
    <x v="0"/>
    <s v="Credit Card"/>
    <x v="167"/>
    <s v="Dean Avila"/>
    <x v="5"/>
    <s v="Cincinnati"/>
    <n v="4.2094627895515035"/>
  </r>
  <r>
    <x v="113"/>
    <x v="209"/>
    <n v="551"/>
    <n v="3"/>
    <x v="2"/>
    <x v="11"/>
    <s v="EMI"/>
    <x v="167"/>
    <s v="Dean Avila"/>
    <x v="5"/>
    <s v="Cincinnati"/>
    <n v="3.5045372050816699"/>
  </r>
  <r>
    <x v="114"/>
    <x v="210"/>
    <n v="340"/>
    <n v="3"/>
    <x v="0"/>
    <x v="0"/>
    <s v="Debit Card"/>
    <x v="168"/>
    <s v="Megan Mack"/>
    <x v="4"/>
    <s v="Austin"/>
    <n v="3.7676470588235293"/>
  </r>
  <r>
    <x v="114"/>
    <x v="211"/>
    <n v="253"/>
    <n v="15"/>
    <x v="0"/>
    <x v="3"/>
    <s v="COD"/>
    <x v="168"/>
    <s v="Megan Mack"/>
    <x v="4"/>
    <s v="Austin"/>
    <n v="9.5019762845849804"/>
  </r>
  <r>
    <x v="115"/>
    <x v="212"/>
    <n v="196"/>
    <n v="1"/>
    <x v="2"/>
    <x v="7"/>
    <s v="COD"/>
    <x v="169"/>
    <s v="Heather Johnson"/>
    <x v="3"/>
    <s v="Los Angeles"/>
    <n v="10.811224489795919"/>
  </r>
  <r>
    <x v="116"/>
    <x v="213"/>
    <n v="571"/>
    <n v="9"/>
    <x v="1"/>
    <x v="2"/>
    <s v="Debit Card"/>
    <x v="170"/>
    <s v="Tina Davies"/>
    <x v="1"/>
    <s v="Chicago"/>
    <n v="5.4938704028021013"/>
  </r>
  <r>
    <x v="117"/>
    <x v="214"/>
    <n v="727"/>
    <n v="7"/>
    <x v="2"/>
    <x v="4"/>
    <s v="COD"/>
    <x v="171"/>
    <s v="Matthew Harris"/>
    <x v="4"/>
    <s v="Dallas"/>
    <n v="3.1953232462173315"/>
  </r>
  <r>
    <x v="117"/>
    <x v="215"/>
    <n v="406"/>
    <n v="9"/>
    <x v="2"/>
    <x v="11"/>
    <s v="UPI"/>
    <x v="171"/>
    <s v="Matthew Harris"/>
    <x v="4"/>
    <s v="Dallas"/>
    <n v="3.3694581280788176"/>
  </r>
  <r>
    <x v="118"/>
    <x v="216"/>
    <n v="3289"/>
    <n v="16"/>
    <x v="0"/>
    <x v="3"/>
    <s v="Credit Card"/>
    <x v="172"/>
    <s v="Christopher Kirk"/>
    <x v="0"/>
    <s v="Miami"/>
    <n v="2.7984189723320156"/>
  </r>
  <r>
    <x v="118"/>
    <x v="216"/>
    <n v="3289"/>
    <n v="16"/>
    <x v="0"/>
    <x v="3"/>
    <s v="Credit Card"/>
    <x v="173"/>
    <s v="Eric Stevens"/>
    <x v="0"/>
    <s v="Miami"/>
    <n v="2.7984189723320156"/>
  </r>
  <r>
    <x v="118"/>
    <x v="217"/>
    <n v="3698"/>
    <n v="20"/>
    <x v="1"/>
    <x v="8"/>
    <s v="EMI"/>
    <x v="172"/>
    <s v="Christopher Kirk"/>
    <x v="0"/>
    <s v="Miami"/>
    <n v="2.6755002704164412"/>
  </r>
  <r>
    <x v="118"/>
    <x v="217"/>
    <n v="3698"/>
    <n v="20"/>
    <x v="1"/>
    <x v="8"/>
    <s v="EMI"/>
    <x v="173"/>
    <s v="Eric Stevens"/>
    <x v="0"/>
    <s v="Miami"/>
    <n v="2.6755002704164412"/>
  </r>
  <r>
    <x v="119"/>
    <x v="218"/>
    <n v="1423"/>
    <n v="18"/>
    <x v="2"/>
    <x v="7"/>
    <s v="COD"/>
    <x v="174"/>
    <s v="James Dickerson"/>
    <x v="4"/>
    <s v="Houston"/>
    <n v="3.7399859451862261"/>
  </r>
  <r>
    <x v="119"/>
    <x v="218"/>
    <n v="1423"/>
    <n v="18"/>
    <x v="2"/>
    <x v="7"/>
    <s v="COD"/>
    <x v="175"/>
    <s v="James Jones"/>
    <x v="4"/>
    <s v="Dallas"/>
    <n v="3.7399859451862261"/>
  </r>
  <r>
    <x v="120"/>
    <x v="219"/>
    <n v="559"/>
    <n v="14"/>
    <x v="2"/>
    <x v="5"/>
    <s v="COD"/>
    <x v="176"/>
    <s v="Hannah Hendricks"/>
    <x v="5"/>
    <s v="Cleveland"/>
    <n v="4.7692307692307692"/>
  </r>
  <r>
    <x v="121"/>
    <x v="220"/>
    <n v="937"/>
    <n v="4"/>
    <x v="2"/>
    <x v="7"/>
    <s v="UPI"/>
    <x v="177"/>
    <s v="Brett Mullins"/>
    <x v="0"/>
    <s v="Orlando"/>
    <n v="8.9466382070437565"/>
  </r>
  <r>
    <x v="122"/>
    <x v="221"/>
    <n v="821"/>
    <n v="4"/>
    <x v="1"/>
    <x v="8"/>
    <s v="EMI"/>
    <x v="178"/>
    <s v="Ms. Kim Jordan"/>
    <x v="1"/>
    <s v="Chicago"/>
    <n v="9.2082825822168086"/>
  </r>
  <r>
    <x v="123"/>
    <x v="222"/>
    <n v="490"/>
    <n v="16"/>
    <x v="2"/>
    <x v="7"/>
    <s v="UPI"/>
    <x v="179"/>
    <s v="Marcus Santiago"/>
    <x v="2"/>
    <s v="Buffalo"/>
    <n v="2.6816326530612247"/>
  </r>
  <r>
    <x v="123"/>
    <x v="223"/>
    <n v="179"/>
    <n v="1"/>
    <x v="2"/>
    <x v="4"/>
    <s v="Debit Card"/>
    <x v="179"/>
    <s v="Marcus Santiago"/>
    <x v="2"/>
    <s v="Buffalo"/>
    <n v="24.52513966480447"/>
  </r>
  <r>
    <x v="123"/>
    <x v="224"/>
    <n v="58"/>
    <n v="7"/>
    <x v="1"/>
    <x v="9"/>
    <s v="Debit Card"/>
    <x v="179"/>
    <s v="Marcus Santiago"/>
    <x v="2"/>
    <s v="Buffalo"/>
    <n v="19.827586206896552"/>
  </r>
  <r>
    <x v="124"/>
    <x v="225"/>
    <n v="258"/>
    <n v="17"/>
    <x v="1"/>
    <x v="2"/>
    <s v="EMI"/>
    <x v="180"/>
    <s v="Jill Perez"/>
    <x v="3"/>
    <s v="San Diego"/>
    <n v="6.1007751937984498"/>
  </r>
  <r>
    <x v="124"/>
    <x v="226"/>
    <n v="318"/>
    <n v="17"/>
    <x v="1"/>
    <x v="9"/>
    <s v="UPI"/>
    <x v="180"/>
    <s v="Jill Perez"/>
    <x v="3"/>
    <s v="San Diego"/>
    <n v="17.720125786163521"/>
  </r>
  <r>
    <x v="124"/>
    <x v="227"/>
    <n v="961"/>
    <n v="11"/>
    <x v="2"/>
    <x v="7"/>
    <s v="Debit Card"/>
    <x v="180"/>
    <s v="Jill Perez"/>
    <x v="3"/>
    <s v="San Diego"/>
    <n v="6.7793964620187301"/>
  </r>
  <r>
    <x v="125"/>
    <x v="228"/>
    <n v="214"/>
    <n v="20"/>
    <x v="0"/>
    <x v="3"/>
    <s v="Debit Card"/>
    <x v="181"/>
    <s v="Courtney Williams"/>
    <x v="5"/>
    <s v="Columbus"/>
    <n v="5.7523364485981308"/>
  </r>
  <r>
    <x v="125"/>
    <x v="228"/>
    <n v="214"/>
    <n v="20"/>
    <x v="0"/>
    <x v="3"/>
    <s v="Debit Card"/>
    <x v="182"/>
    <s v="Jordan Hahn"/>
    <x v="2"/>
    <s v="Rochester"/>
    <n v="5.7523364485981308"/>
  </r>
  <r>
    <x v="126"/>
    <x v="229"/>
    <n v="2529"/>
    <n v="3"/>
    <x v="1"/>
    <x v="9"/>
    <s v="Debit Card"/>
    <x v="183"/>
    <s v="William Cook"/>
    <x v="5"/>
    <s v="Cleveland"/>
    <n v="2.7247924080664294"/>
  </r>
  <r>
    <x v="127"/>
    <x v="230"/>
    <n v="2308"/>
    <n v="15"/>
    <x v="0"/>
    <x v="3"/>
    <s v="EMI"/>
    <x v="184"/>
    <s v="Stephanie Hayes"/>
    <x v="4"/>
    <s v="Austin"/>
    <n v="3.2599653379549394"/>
  </r>
  <r>
    <x v="127"/>
    <x v="231"/>
    <n v="1824"/>
    <n v="14"/>
    <x v="0"/>
    <x v="1"/>
    <s v="Credit Card"/>
    <x v="184"/>
    <s v="Stephanie Hayes"/>
    <x v="4"/>
    <s v="Austin"/>
    <n v="3.763157894736842"/>
  </r>
  <r>
    <x v="128"/>
    <x v="232"/>
    <n v="432"/>
    <n v="14"/>
    <x v="2"/>
    <x v="5"/>
    <s v="Debit Card"/>
    <x v="185"/>
    <s v="Melissa Wise"/>
    <x v="5"/>
    <s v="Columbus"/>
    <n v="9.7569444444444446"/>
  </r>
  <r>
    <x v="129"/>
    <x v="233"/>
    <n v="218"/>
    <n v="19"/>
    <x v="2"/>
    <x v="11"/>
    <s v="Credit Card"/>
    <x v="186"/>
    <s v="Elizabeth Gonzalez"/>
    <x v="3"/>
    <s v="San Diego"/>
    <n v="2.8532110091743119"/>
  </r>
  <r>
    <x v="129"/>
    <x v="234"/>
    <n v="495"/>
    <n v="18"/>
    <x v="1"/>
    <x v="2"/>
    <s v="UPI"/>
    <x v="186"/>
    <s v="Elizabeth Gonzalez"/>
    <x v="3"/>
    <s v="San Diego"/>
    <n v="3.5454545454545454"/>
  </r>
  <r>
    <x v="129"/>
    <x v="235"/>
    <n v="3898"/>
    <n v="20"/>
    <x v="0"/>
    <x v="0"/>
    <s v="EMI"/>
    <x v="186"/>
    <s v="Elizabeth Gonzalez"/>
    <x v="3"/>
    <s v="San Diego"/>
    <n v="2.0574653668547973"/>
  </r>
  <r>
    <x v="130"/>
    <x v="236"/>
    <n v="1576"/>
    <n v="4"/>
    <x v="0"/>
    <x v="3"/>
    <s v="Credit Card"/>
    <x v="187"/>
    <s v="Mr. Eric Lopez"/>
    <x v="2"/>
    <s v="Buffalo"/>
    <n v="4.6529187817258881"/>
  </r>
  <r>
    <x v="131"/>
    <x v="237"/>
    <n v="1134"/>
    <n v="4"/>
    <x v="0"/>
    <x v="0"/>
    <s v="COD"/>
    <x v="188"/>
    <s v="Benjamin Higgins"/>
    <x v="2"/>
    <s v="Rochester"/>
    <n v="6.7813051146384478"/>
  </r>
  <r>
    <x v="131"/>
    <x v="238"/>
    <n v="246"/>
    <n v="2"/>
    <x v="2"/>
    <x v="7"/>
    <s v="EMI"/>
    <x v="188"/>
    <s v="Benjamin Higgins"/>
    <x v="2"/>
    <s v="Rochester"/>
    <n v="3.7073170731707319"/>
  </r>
  <r>
    <x v="132"/>
    <x v="239"/>
    <n v="894"/>
    <n v="14"/>
    <x v="0"/>
    <x v="3"/>
    <s v="COD"/>
    <x v="189"/>
    <s v="Brett Sutton"/>
    <x v="4"/>
    <s v="Austin"/>
    <n v="3.121923937360179"/>
  </r>
  <r>
    <x v="132"/>
    <x v="239"/>
    <n v="894"/>
    <n v="14"/>
    <x v="0"/>
    <x v="3"/>
    <s v="COD"/>
    <x v="190"/>
    <s v="Anna Blackburn"/>
    <x v="5"/>
    <s v="Cincinnati"/>
    <n v="3.121923937360179"/>
  </r>
  <r>
    <x v="132"/>
    <x v="239"/>
    <n v="894"/>
    <n v="14"/>
    <x v="0"/>
    <x v="3"/>
    <s v="COD"/>
    <x v="191"/>
    <s v="Michelle Bailey"/>
    <x v="4"/>
    <s v="Dallas"/>
    <n v="3.121923937360179"/>
  </r>
  <r>
    <x v="132"/>
    <x v="240"/>
    <n v="1478"/>
    <n v="3"/>
    <x v="2"/>
    <x v="7"/>
    <s v="Debit Card"/>
    <x v="189"/>
    <s v="Brett Sutton"/>
    <x v="4"/>
    <s v="Austin"/>
    <n v="4.2104194857916104"/>
  </r>
  <r>
    <x v="132"/>
    <x v="240"/>
    <n v="1478"/>
    <n v="3"/>
    <x v="2"/>
    <x v="7"/>
    <s v="Debit Card"/>
    <x v="190"/>
    <s v="Anna Blackburn"/>
    <x v="5"/>
    <s v="Cincinnati"/>
    <n v="4.2104194857916104"/>
  </r>
  <r>
    <x v="132"/>
    <x v="240"/>
    <n v="1478"/>
    <n v="3"/>
    <x v="2"/>
    <x v="7"/>
    <s v="Debit Card"/>
    <x v="191"/>
    <s v="Michelle Bailey"/>
    <x v="4"/>
    <s v="Dallas"/>
    <n v="4.2104194857916104"/>
  </r>
  <r>
    <x v="132"/>
    <x v="241"/>
    <n v="3121"/>
    <n v="17"/>
    <x v="2"/>
    <x v="5"/>
    <s v="Debit Card"/>
    <x v="189"/>
    <s v="Brett Sutton"/>
    <x v="4"/>
    <s v="Austin"/>
    <n v="2.8654277475168217"/>
  </r>
  <r>
    <x v="132"/>
    <x v="241"/>
    <n v="3121"/>
    <n v="17"/>
    <x v="2"/>
    <x v="5"/>
    <s v="Debit Card"/>
    <x v="190"/>
    <s v="Anna Blackburn"/>
    <x v="5"/>
    <s v="Cincinnati"/>
    <n v="2.8654277475168217"/>
  </r>
  <r>
    <x v="132"/>
    <x v="241"/>
    <n v="3121"/>
    <n v="17"/>
    <x v="2"/>
    <x v="5"/>
    <s v="Debit Card"/>
    <x v="191"/>
    <s v="Michelle Bailey"/>
    <x v="4"/>
    <s v="Dallas"/>
    <n v="2.8654277475168217"/>
  </r>
  <r>
    <x v="132"/>
    <x v="242"/>
    <n v="102"/>
    <n v="12"/>
    <x v="0"/>
    <x v="10"/>
    <s v="Credit Card"/>
    <x v="189"/>
    <s v="Brett Sutton"/>
    <x v="4"/>
    <s v="Austin"/>
    <n v="32.323529411764703"/>
  </r>
  <r>
    <x v="132"/>
    <x v="242"/>
    <n v="102"/>
    <n v="12"/>
    <x v="0"/>
    <x v="10"/>
    <s v="Credit Card"/>
    <x v="190"/>
    <s v="Anna Blackburn"/>
    <x v="5"/>
    <s v="Cincinnati"/>
    <n v="32.323529411764703"/>
  </r>
  <r>
    <x v="132"/>
    <x v="242"/>
    <n v="102"/>
    <n v="12"/>
    <x v="0"/>
    <x v="10"/>
    <s v="Credit Card"/>
    <x v="191"/>
    <s v="Michelle Bailey"/>
    <x v="4"/>
    <s v="Dallas"/>
    <n v="32.323529411764703"/>
  </r>
  <r>
    <x v="133"/>
    <x v="243"/>
    <n v="1989"/>
    <n v="20"/>
    <x v="1"/>
    <x v="8"/>
    <s v="UPI"/>
    <x v="192"/>
    <s v="Sara Peterson"/>
    <x v="1"/>
    <s v="Chicago"/>
    <n v="4.4087481146304679"/>
  </r>
  <r>
    <x v="134"/>
    <x v="244"/>
    <n v="1888"/>
    <n v="19"/>
    <x v="0"/>
    <x v="1"/>
    <s v="COD"/>
    <x v="193"/>
    <s v="Katherine Williams"/>
    <x v="0"/>
    <s v="Orlando"/>
    <n v="4.7971398305084749"/>
  </r>
  <r>
    <x v="134"/>
    <x v="231"/>
    <n v="3275"/>
    <n v="11"/>
    <x v="2"/>
    <x v="4"/>
    <s v="Credit Card"/>
    <x v="193"/>
    <s v="Katherine Williams"/>
    <x v="0"/>
    <s v="Orlando"/>
    <n v="2.0958778625954197"/>
  </r>
  <r>
    <x v="134"/>
    <x v="245"/>
    <n v="809"/>
    <n v="13"/>
    <x v="0"/>
    <x v="3"/>
    <s v="COD"/>
    <x v="193"/>
    <s v="Katherine Williams"/>
    <x v="0"/>
    <s v="Orlando"/>
    <n v="11.372064276885043"/>
  </r>
  <r>
    <x v="135"/>
    <x v="246"/>
    <n v="2508"/>
    <n v="6"/>
    <x v="0"/>
    <x v="3"/>
    <s v="UPI"/>
    <x v="194"/>
    <s v="Cory Evans"/>
    <x v="0"/>
    <s v="Orlando"/>
    <n v="2.4374003189792663"/>
  </r>
  <r>
    <x v="135"/>
    <x v="247"/>
    <n v="2784"/>
    <n v="15"/>
    <x v="2"/>
    <x v="4"/>
    <s v="EMI"/>
    <x v="194"/>
    <s v="Cory Evans"/>
    <x v="0"/>
    <s v="Orlando"/>
    <n v="2.7776580459770117"/>
  </r>
  <r>
    <x v="135"/>
    <x v="248"/>
    <n v="154"/>
    <n v="14"/>
    <x v="2"/>
    <x v="4"/>
    <s v="COD"/>
    <x v="194"/>
    <s v="Cory Evans"/>
    <x v="0"/>
    <s v="Orlando"/>
    <n v="55.350649350649348"/>
  </r>
  <r>
    <x v="135"/>
    <x v="249"/>
    <n v="2344"/>
    <n v="15"/>
    <x v="2"/>
    <x v="11"/>
    <s v="EMI"/>
    <x v="194"/>
    <s v="Cory Evans"/>
    <x v="0"/>
    <s v="Orlando"/>
    <n v="2.6395051194539247"/>
  </r>
  <r>
    <x v="136"/>
    <x v="142"/>
    <n v="148"/>
    <n v="18"/>
    <x v="2"/>
    <x v="4"/>
    <s v="EMI"/>
    <x v="195"/>
    <s v="Michael Rodriguez"/>
    <x v="5"/>
    <s v="Cincinnati"/>
    <n v="29.486486486486488"/>
  </r>
  <r>
    <x v="136"/>
    <x v="250"/>
    <n v="286"/>
    <n v="12"/>
    <x v="1"/>
    <x v="2"/>
    <s v="EMI"/>
    <x v="195"/>
    <s v="Michael Rodriguez"/>
    <x v="5"/>
    <s v="Cincinnati"/>
    <n v="2.5734265734265733"/>
  </r>
  <r>
    <x v="137"/>
    <x v="251"/>
    <n v="633"/>
    <n v="17"/>
    <x v="1"/>
    <x v="2"/>
    <s v="EMI"/>
    <x v="196"/>
    <s v="John Munoz"/>
    <x v="4"/>
    <s v="Dallas"/>
    <n v="15.647709320695103"/>
  </r>
  <r>
    <x v="137"/>
    <x v="251"/>
    <n v="633"/>
    <n v="17"/>
    <x v="1"/>
    <x v="2"/>
    <s v="EMI"/>
    <x v="197"/>
    <s v="David Clark"/>
    <x v="0"/>
    <s v="Tampa"/>
    <n v="15.647709320695103"/>
  </r>
  <r>
    <x v="138"/>
    <x v="252"/>
    <n v="1221"/>
    <n v="9"/>
    <x v="1"/>
    <x v="8"/>
    <s v="Credit Card"/>
    <x v="198"/>
    <s v="April Welch"/>
    <x v="1"/>
    <s v="Springfield"/>
    <n v="2.0417690417690419"/>
  </r>
  <r>
    <x v="138"/>
    <x v="253"/>
    <n v="963"/>
    <n v="1"/>
    <x v="1"/>
    <x v="2"/>
    <s v="Credit Card"/>
    <x v="198"/>
    <s v="April Welch"/>
    <x v="1"/>
    <s v="Springfield"/>
    <n v="10.227414330218069"/>
  </r>
  <r>
    <x v="139"/>
    <x v="254"/>
    <n v="804"/>
    <n v="4"/>
    <x v="0"/>
    <x v="1"/>
    <s v="Credit Card"/>
    <x v="199"/>
    <s v="Alan Livingston"/>
    <x v="1"/>
    <s v="Peoria"/>
    <n v="4.2574626865671643"/>
  </r>
  <r>
    <x v="139"/>
    <x v="254"/>
    <n v="804"/>
    <n v="4"/>
    <x v="0"/>
    <x v="1"/>
    <s v="Credit Card"/>
    <x v="200"/>
    <s v="Angela Jackson"/>
    <x v="4"/>
    <s v="Dallas"/>
    <n v="4.2574626865671643"/>
  </r>
  <r>
    <x v="139"/>
    <x v="254"/>
    <n v="804"/>
    <n v="4"/>
    <x v="0"/>
    <x v="1"/>
    <s v="Credit Card"/>
    <x v="201"/>
    <s v="Amy Williams"/>
    <x v="4"/>
    <s v="Austin"/>
    <n v="4.2574626865671643"/>
  </r>
  <r>
    <x v="139"/>
    <x v="254"/>
    <n v="804"/>
    <n v="4"/>
    <x v="0"/>
    <x v="1"/>
    <s v="Credit Card"/>
    <x v="8"/>
    <s v="Laura Jordan"/>
    <x v="4"/>
    <s v="Dallas"/>
    <n v="4.2574626865671643"/>
  </r>
  <r>
    <x v="139"/>
    <x v="254"/>
    <n v="804"/>
    <n v="4"/>
    <x v="0"/>
    <x v="1"/>
    <s v="Credit Card"/>
    <x v="202"/>
    <s v="Richard Maynard"/>
    <x v="5"/>
    <s v="Cincinnati"/>
    <n v="4.2574626865671643"/>
  </r>
  <r>
    <x v="140"/>
    <x v="255"/>
    <n v="115"/>
    <n v="9"/>
    <x v="2"/>
    <x v="5"/>
    <s v="COD"/>
    <x v="203"/>
    <s v="Lawrence Oliver"/>
    <x v="1"/>
    <s v="Springfield"/>
    <n v="33.913043478260867"/>
  </r>
  <r>
    <x v="141"/>
    <x v="256"/>
    <n v="2419"/>
    <n v="11"/>
    <x v="0"/>
    <x v="0"/>
    <s v="UPI"/>
    <x v="204"/>
    <s v="Anthony Williams"/>
    <x v="2"/>
    <s v="Rochester"/>
    <n v="3.5419594873914839"/>
  </r>
  <r>
    <x v="141"/>
    <x v="257"/>
    <n v="71"/>
    <n v="6"/>
    <x v="1"/>
    <x v="2"/>
    <s v="EMI"/>
    <x v="204"/>
    <s v="Anthony Williams"/>
    <x v="2"/>
    <s v="Rochester"/>
    <n v="46.239436619718312"/>
  </r>
  <r>
    <x v="142"/>
    <x v="258"/>
    <n v="3720"/>
    <n v="19"/>
    <x v="0"/>
    <x v="0"/>
    <s v="EMI"/>
    <x v="205"/>
    <s v="Lynn Matthews"/>
    <x v="4"/>
    <s v="Dallas"/>
    <n v="2.0545698924731184"/>
  </r>
  <r>
    <x v="143"/>
    <x v="259"/>
    <n v="1537"/>
    <n v="15"/>
    <x v="2"/>
    <x v="7"/>
    <s v="EMI"/>
    <x v="206"/>
    <s v="Andrew Griffin"/>
    <x v="1"/>
    <s v="Chicago"/>
    <n v="2.2517891997397528"/>
  </r>
  <r>
    <x v="143"/>
    <x v="260"/>
    <n v="1438"/>
    <n v="6"/>
    <x v="0"/>
    <x v="0"/>
    <s v="Credit Card"/>
    <x v="206"/>
    <s v="Andrew Griffin"/>
    <x v="1"/>
    <s v="Chicago"/>
    <n v="3.9735744089012517"/>
  </r>
  <r>
    <x v="143"/>
    <x v="261"/>
    <n v="1457"/>
    <n v="10"/>
    <x v="1"/>
    <x v="9"/>
    <s v="COD"/>
    <x v="206"/>
    <s v="Andrew Griffin"/>
    <x v="1"/>
    <s v="Chicago"/>
    <n v="2.644474948524365"/>
  </r>
  <r>
    <x v="144"/>
    <x v="262"/>
    <n v="431"/>
    <n v="20"/>
    <x v="1"/>
    <x v="2"/>
    <s v="UPI"/>
    <x v="207"/>
    <s v="Megan Williams"/>
    <x v="1"/>
    <s v="Chicago"/>
    <n v="13.958236658932714"/>
  </r>
  <r>
    <x v="145"/>
    <x v="263"/>
    <n v="204"/>
    <n v="12"/>
    <x v="1"/>
    <x v="6"/>
    <s v="UPI"/>
    <x v="208"/>
    <s v="Alison Martin"/>
    <x v="2"/>
    <s v="Buffalo"/>
    <n v="6.3235294117647056"/>
  </r>
  <r>
    <x v="145"/>
    <x v="263"/>
    <n v="204"/>
    <n v="12"/>
    <x v="1"/>
    <x v="6"/>
    <s v="UPI"/>
    <x v="209"/>
    <s v="Samuel Wallace"/>
    <x v="3"/>
    <s v="San Francisco"/>
    <n v="6.3235294117647056"/>
  </r>
  <r>
    <x v="146"/>
    <x v="264"/>
    <n v="1693"/>
    <n v="10"/>
    <x v="0"/>
    <x v="1"/>
    <s v="UPI"/>
    <x v="210"/>
    <s v="Manuel Stark"/>
    <x v="1"/>
    <s v="Springfield"/>
    <n v="2.6987595983461312"/>
  </r>
  <r>
    <x v="147"/>
    <x v="265"/>
    <n v="1151"/>
    <n v="16"/>
    <x v="2"/>
    <x v="11"/>
    <s v="Debit Card"/>
    <x v="211"/>
    <s v="William Villarreal"/>
    <x v="0"/>
    <s v="Orlando"/>
    <n v="2.6785403996524759"/>
  </r>
  <r>
    <x v="148"/>
    <x v="266"/>
    <n v="898"/>
    <n v="15"/>
    <x v="1"/>
    <x v="2"/>
    <s v="Credit Card"/>
    <x v="212"/>
    <s v="Brandon Kirk"/>
    <x v="5"/>
    <s v="Cleveland"/>
    <n v="3.9220489977728286"/>
  </r>
  <r>
    <x v="148"/>
    <x v="266"/>
    <n v="898"/>
    <n v="15"/>
    <x v="1"/>
    <x v="2"/>
    <s v="Credit Card"/>
    <x v="213"/>
    <s v="Abigail Brown"/>
    <x v="3"/>
    <s v="Los Angeles"/>
    <n v="3.9220489977728286"/>
  </r>
  <r>
    <x v="149"/>
    <x v="267"/>
    <n v="3602"/>
    <n v="3"/>
    <x v="1"/>
    <x v="9"/>
    <s v="Debit Card"/>
    <x v="214"/>
    <s v="Kristine Carter"/>
    <x v="4"/>
    <s v="Houston"/>
    <n v="2.026929483620211"/>
  </r>
  <r>
    <x v="150"/>
    <x v="268"/>
    <n v="121"/>
    <n v="8"/>
    <x v="0"/>
    <x v="3"/>
    <s v="COD"/>
    <x v="215"/>
    <s v="Wesley Deleon"/>
    <x v="1"/>
    <s v="Springfield"/>
    <n v="36.876033057851238"/>
  </r>
  <r>
    <x v="150"/>
    <x v="269"/>
    <n v="1881"/>
    <n v="17"/>
    <x v="0"/>
    <x v="10"/>
    <s v="COD"/>
    <x v="215"/>
    <s v="Wesley Deleon"/>
    <x v="1"/>
    <s v="Springfield"/>
    <n v="3.3024986709197237"/>
  </r>
  <r>
    <x v="151"/>
    <x v="270"/>
    <n v="1386"/>
    <n v="3"/>
    <x v="2"/>
    <x v="11"/>
    <s v="EMI"/>
    <x v="216"/>
    <s v="Laura Cole"/>
    <x v="0"/>
    <s v="Tampa"/>
    <n v="2.9054834054834053"/>
  </r>
  <r>
    <x v="152"/>
    <x v="271"/>
    <n v="330"/>
    <n v="14"/>
    <x v="0"/>
    <x v="3"/>
    <s v="EMI"/>
    <x v="217"/>
    <s v="Lauren Harris"/>
    <x v="5"/>
    <s v="Cleveland"/>
    <n v="5.0787878787878791"/>
  </r>
  <r>
    <x v="152"/>
    <x v="272"/>
    <n v="1133"/>
    <n v="12"/>
    <x v="2"/>
    <x v="11"/>
    <s v="COD"/>
    <x v="217"/>
    <s v="Lauren Harris"/>
    <x v="5"/>
    <s v="Cleveland"/>
    <n v="3.4660194174757279"/>
  </r>
  <r>
    <x v="152"/>
    <x v="273"/>
    <n v="887"/>
    <n v="9"/>
    <x v="0"/>
    <x v="10"/>
    <s v="Debit Card"/>
    <x v="217"/>
    <s v="Lauren Harris"/>
    <x v="5"/>
    <s v="Cleveland"/>
    <n v="3.1296505073280723"/>
  </r>
  <r>
    <x v="153"/>
    <x v="274"/>
    <n v="1157"/>
    <n v="12"/>
    <x v="2"/>
    <x v="7"/>
    <s v="COD"/>
    <x v="218"/>
    <s v="Cameron Miller"/>
    <x v="1"/>
    <s v="Chicago"/>
    <n v="6.6413137424373376"/>
  </r>
  <r>
    <x v="153"/>
    <x v="274"/>
    <n v="1157"/>
    <n v="12"/>
    <x v="2"/>
    <x v="7"/>
    <s v="COD"/>
    <x v="219"/>
    <s v="Jacob Carpenter"/>
    <x v="2"/>
    <s v="Buffalo"/>
    <n v="6.6413137424373376"/>
  </r>
  <r>
    <x v="153"/>
    <x v="274"/>
    <n v="1157"/>
    <n v="12"/>
    <x v="2"/>
    <x v="7"/>
    <s v="COD"/>
    <x v="27"/>
    <s v="Pamela Callahan DVM"/>
    <x v="5"/>
    <s v="Columbus"/>
    <n v="6.6413137424373376"/>
  </r>
  <r>
    <x v="154"/>
    <x v="275"/>
    <n v="2498"/>
    <n v="17"/>
    <x v="0"/>
    <x v="10"/>
    <s v="Credit Card"/>
    <x v="176"/>
    <s v="William Ruiz"/>
    <x v="0"/>
    <s v="Miami"/>
    <n v="2.4051240992794236"/>
  </r>
  <r>
    <x v="155"/>
    <x v="276"/>
    <n v="2598"/>
    <n v="20"/>
    <x v="2"/>
    <x v="11"/>
    <s v="COD"/>
    <x v="220"/>
    <s v="Paula Marshall"/>
    <x v="4"/>
    <s v="Dallas"/>
    <n v="2.8267898383371826"/>
  </r>
  <r>
    <x v="156"/>
    <x v="277"/>
    <n v="3218"/>
    <n v="20"/>
    <x v="1"/>
    <x v="2"/>
    <s v="COD"/>
    <x v="221"/>
    <s v="Natalie Cox"/>
    <x v="0"/>
    <s v="Orlando"/>
    <n v="2.154133001864512"/>
  </r>
  <r>
    <x v="157"/>
    <x v="278"/>
    <n v="1706"/>
    <n v="16"/>
    <x v="0"/>
    <x v="0"/>
    <s v="EMI"/>
    <x v="222"/>
    <s v="Andrew Fernandez"/>
    <x v="5"/>
    <s v="Cincinnati"/>
    <n v="4.5416178194607273"/>
  </r>
  <r>
    <x v="157"/>
    <x v="279"/>
    <n v="2763"/>
    <n v="20"/>
    <x v="1"/>
    <x v="6"/>
    <s v="UPI"/>
    <x v="222"/>
    <s v="Andrew Fernandez"/>
    <x v="5"/>
    <s v="Cincinnati"/>
    <n v="2.3094462540716614"/>
  </r>
  <r>
    <x v="157"/>
    <x v="280"/>
    <n v="64"/>
    <n v="6"/>
    <x v="0"/>
    <x v="10"/>
    <s v="Credit Card"/>
    <x v="222"/>
    <s v="Andrew Fernandez"/>
    <x v="5"/>
    <s v="Cincinnati"/>
    <n v="15.5"/>
  </r>
  <r>
    <x v="158"/>
    <x v="281"/>
    <n v="2631"/>
    <n v="13"/>
    <x v="0"/>
    <x v="3"/>
    <s v="EMI"/>
    <x v="223"/>
    <s v="Alisha Saunders"/>
    <x v="3"/>
    <s v="San Francisco"/>
    <n v="3.2873432155074118"/>
  </r>
  <r>
    <x v="158"/>
    <x v="281"/>
    <n v="2631"/>
    <n v="13"/>
    <x v="0"/>
    <x v="3"/>
    <s v="EMI"/>
    <x v="224"/>
    <s v="Travis Chandler DDS"/>
    <x v="2"/>
    <s v="Rochester"/>
    <n v="3.2873432155074118"/>
  </r>
  <r>
    <x v="159"/>
    <x v="282"/>
    <n v="52"/>
    <n v="18"/>
    <x v="0"/>
    <x v="3"/>
    <s v="UPI"/>
    <x v="127"/>
    <s v="Russell Austin"/>
    <x v="2"/>
    <s v="New York City"/>
    <n v="78.82692307692308"/>
  </r>
  <r>
    <x v="160"/>
    <x v="283"/>
    <n v="324"/>
    <n v="5"/>
    <x v="0"/>
    <x v="0"/>
    <s v="UPI"/>
    <x v="225"/>
    <s v="Collin Cameron"/>
    <x v="3"/>
    <s v="San Francisco"/>
    <n v="7.8364197530864201"/>
  </r>
  <r>
    <x v="161"/>
    <x v="284"/>
    <n v="3062"/>
    <n v="9"/>
    <x v="1"/>
    <x v="8"/>
    <s v="COD"/>
    <x v="226"/>
    <s v="Elizabeth Hernandez"/>
    <x v="0"/>
    <s v="Orlando"/>
    <n v="3.2152188112344873"/>
  </r>
  <r>
    <x v="162"/>
    <x v="285"/>
    <n v="1411"/>
    <n v="2"/>
    <x v="1"/>
    <x v="8"/>
    <s v="Debit Card"/>
    <x v="227"/>
    <s v="William Russell"/>
    <x v="4"/>
    <s v="Austin"/>
    <n v="2.0559886605244508"/>
  </r>
  <r>
    <x v="162"/>
    <x v="285"/>
    <n v="1411"/>
    <n v="2"/>
    <x v="1"/>
    <x v="8"/>
    <s v="Debit Card"/>
    <x v="228"/>
    <s v="Sheri Berg"/>
    <x v="3"/>
    <s v="Los Angeles"/>
    <n v="2.0559886605244508"/>
  </r>
  <r>
    <x v="162"/>
    <x v="286"/>
    <n v="1152"/>
    <n v="6"/>
    <x v="1"/>
    <x v="2"/>
    <s v="Credit Card"/>
    <x v="227"/>
    <s v="William Russell"/>
    <x v="4"/>
    <s v="Austin"/>
    <n v="6.0190972222222223"/>
  </r>
  <r>
    <x v="162"/>
    <x v="286"/>
    <n v="1152"/>
    <n v="6"/>
    <x v="1"/>
    <x v="2"/>
    <s v="Credit Card"/>
    <x v="228"/>
    <s v="Sheri Berg"/>
    <x v="3"/>
    <s v="Los Angeles"/>
    <n v="6.0190972222222223"/>
  </r>
  <r>
    <x v="163"/>
    <x v="287"/>
    <n v="2606"/>
    <n v="2"/>
    <x v="2"/>
    <x v="11"/>
    <s v="Credit Card"/>
    <x v="229"/>
    <s v="Anthony Barnett"/>
    <x v="1"/>
    <s v="Peoria"/>
    <n v="3.6991557943207982"/>
  </r>
  <r>
    <x v="164"/>
    <x v="288"/>
    <n v="1981"/>
    <n v="13"/>
    <x v="2"/>
    <x v="5"/>
    <s v="Credit Card"/>
    <x v="230"/>
    <s v="Kaitlyn Flores"/>
    <x v="5"/>
    <s v="Cleveland"/>
    <n v="4.0030287733467942"/>
  </r>
  <r>
    <x v="164"/>
    <x v="288"/>
    <n v="1981"/>
    <n v="13"/>
    <x v="2"/>
    <x v="5"/>
    <s v="Credit Card"/>
    <x v="231"/>
    <s v="Rebecca Owen"/>
    <x v="1"/>
    <s v="Springfield"/>
    <n v="4.0030287733467942"/>
  </r>
  <r>
    <x v="165"/>
    <x v="217"/>
    <n v="829"/>
    <n v="1"/>
    <x v="1"/>
    <x v="9"/>
    <s v="COD"/>
    <x v="232"/>
    <s v="Michael Bell"/>
    <x v="3"/>
    <s v="San Diego"/>
    <n v="11.934861278648974"/>
  </r>
  <r>
    <x v="165"/>
    <x v="289"/>
    <n v="2235"/>
    <n v="4"/>
    <x v="2"/>
    <x v="4"/>
    <s v="COD"/>
    <x v="232"/>
    <s v="Michael Bell"/>
    <x v="3"/>
    <s v="San Diego"/>
    <n v="2.0286353467561522"/>
  </r>
  <r>
    <x v="166"/>
    <x v="290"/>
    <n v="186"/>
    <n v="20"/>
    <x v="0"/>
    <x v="10"/>
    <s v="Debit Card"/>
    <x v="233"/>
    <s v="Willie Huynh"/>
    <x v="2"/>
    <s v="Buffalo"/>
    <n v="26.403225806451612"/>
  </r>
  <r>
    <x v="166"/>
    <x v="291"/>
    <n v="189"/>
    <n v="20"/>
    <x v="2"/>
    <x v="11"/>
    <s v="Debit Card"/>
    <x v="233"/>
    <s v="Willie Huynh"/>
    <x v="2"/>
    <s v="Buffalo"/>
    <n v="2.8095238095238093"/>
  </r>
  <r>
    <x v="167"/>
    <x v="292"/>
    <n v="3483"/>
    <n v="10"/>
    <x v="0"/>
    <x v="0"/>
    <s v="EMI"/>
    <x v="234"/>
    <s v="Samuel Hayes"/>
    <x v="1"/>
    <s v="Peoria"/>
    <n v="2.7869652598334769"/>
  </r>
  <r>
    <x v="167"/>
    <x v="293"/>
    <n v="2584"/>
    <n v="7"/>
    <x v="1"/>
    <x v="8"/>
    <s v="COD"/>
    <x v="234"/>
    <s v="Samuel Hayes"/>
    <x v="1"/>
    <s v="Peoria"/>
    <n v="3.2976006191950464"/>
  </r>
  <r>
    <x v="168"/>
    <x v="294"/>
    <n v="3427"/>
    <n v="12"/>
    <x v="1"/>
    <x v="9"/>
    <s v="Credit Card"/>
    <x v="213"/>
    <s v="Sherry Tran"/>
    <x v="2"/>
    <s v="Buffalo"/>
    <n v="2.4622118470965861"/>
  </r>
  <r>
    <x v="168"/>
    <x v="295"/>
    <n v="109"/>
    <n v="9"/>
    <x v="0"/>
    <x v="0"/>
    <s v="UPI"/>
    <x v="213"/>
    <s v="Sherry Tran"/>
    <x v="2"/>
    <s v="Buffalo"/>
    <n v="15.495412844036696"/>
  </r>
  <r>
    <x v="168"/>
    <x v="296"/>
    <n v="1626"/>
    <n v="14"/>
    <x v="1"/>
    <x v="8"/>
    <s v="COD"/>
    <x v="213"/>
    <s v="Sherry Tran"/>
    <x v="2"/>
    <s v="Buffalo"/>
    <n v="2.4206642066420665"/>
  </r>
  <r>
    <x v="169"/>
    <x v="297"/>
    <n v="1753"/>
    <n v="19"/>
    <x v="0"/>
    <x v="10"/>
    <s v="Debit Card"/>
    <x v="235"/>
    <s v="Heather Gray"/>
    <x v="5"/>
    <s v="Cincinnati"/>
    <n v="4.3719338277239022"/>
  </r>
  <r>
    <x v="170"/>
    <x v="298"/>
    <n v="258"/>
    <n v="13"/>
    <x v="0"/>
    <x v="3"/>
    <s v="Debit Card"/>
    <x v="236"/>
    <s v="Benjamin Meadows"/>
    <x v="1"/>
    <s v="Peoria"/>
    <n v="2.7945736434108528"/>
  </r>
  <r>
    <x v="170"/>
    <x v="298"/>
    <n v="258"/>
    <n v="13"/>
    <x v="0"/>
    <x v="3"/>
    <s v="Debit Card"/>
    <x v="237"/>
    <s v="Micheal Graham"/>
    <x v="2"/>
    <s v="Buffalo"/>
    <n v="2.7945736434108528"/>
  </r>
  <r>
    <x v="170"/>
    <x v="299"/>
    <n v="3055"/>
    <n v="17"/>
    <x v="0"/>
    <x v="3"/>
    <s v="Credit Card"/>
    <x v="236"/>
    <s v="Benjamin Meadows"/>
    <x v="1"/>
    <s v="Peoria"/>
    <n v="2.7378068739770867"/>
  </r>
  <r>
    <x v="170"/>
    <x v="299"/>
    <n v="3055"/>
    <n v="17"/>
    <x v="0"/>
    <x v="3"/>
    <s v="Credit Card"/>
    <x v="237"/>
    <s v="Micheal Graham"/>
    <x v="2"/>
    <s v="Buffalo"/>
    <n v="2.7378068739770867"/>
  </r>
  <r>
    <x v="170"/>
    <x v="300"/>
    <n v="2021"/>
    <n v="15"/>
    <x v="2"/>
    <x v="11"/>
    <s v="EMI"/>
    <x v="236"/>
    <s v="Benjamin Meadows"/>
    <x v="1"/>
    <s v="Peoria"/>
    <n v="2.5898070262246411"/>
  </r>
  <r>
    <x v="170"/>
    <x v="300"/>
    <n v="2021"/>
    <n v="15"/>
    <x v="2"/>
    <x v="11"/>
    <s v="EMI"/>
    <x v="237"/>
    <s v="Micheal Graham"/>
    <x v="2"/>
    <s v="Buffalo"/>
    <n v="2.5898070262246411"/>
  </r>
  <r>
    <x v="171"/>
    <x v="301"/>
    <n v="1559"/>
    <n v="18"/>
    <x v="0"/>
    <x v="10"/>
    <s v="Credit Card"/>
    <x v="238"/>
    <s v="Jean Jackson"/>
    <x v="3"/>
    <s v="San Francisco"/>
    <n v="2.5298268120590124"/>
  </r>
  <r>
    <x v="171"/>
    <x v="302"/>
    <n v="1045"/>
    <n v="12"/>
    <x v="1"/>
    <x v="2"/>
    <s v="Credit Card"/>
    <x v="238"/>
    <s v="Jean Jackson"/>
    <x v="3"/>
    <s v="San Francisco"/>
    <n v="6.4220095693779902"/>
  </r>
  <r>
    <x v="171"/>
    <x v="303"/>
    <n v="714"/>
    <n v="4"/>
    <x v="2"/>
    <x v="4"/>
    <s v="Credit Card"/>
    <x v="238"/>
    <s v="Jean Jackson"/>
    <x v="3"/>
    <s v="San Francisco"/>
    <n v="7.0462184873949578"/>
  </r>
  <r>
    <x v="171"/>
    <x v="304"/>
    <n v="2469"/>
    <n v="14"/>
    <x v="1"/>
    <x v="9"/>
    <s v="EMI"/>
    <x v="238"/>
    <s v="Jean Jackson"/>
    <x v="3"/>
    <s v="San Francisco"/>
    <n v="2.549615228837586"/>
  </r>
  <r>
    <x v="172"/>
    <x v="305"/>
    <n v="4111"/>
    <n v="1"/>
    <x v="1"/>
    <x v="8"/>
    <s v="UPI"/>
    <x v="45"/>
    <s v="Timothy Murphy"/>
    <x v="3"/>
    <s v="San Francisco"/>
    <n v="2.3483337387496959"/>
  </r>
  <r>
    <x v="172"/>
    <x v="306"/>
    <n v="1065"/>
    <n v="20"/>
    <x v="1"/>
    <x v="9"/>
    <s v="COD"/>
    <x v="45"/>
    <s v="Timothy Murphy"/>
    <x v="3"/>
    <s v="San Francisco"/>
    <n v="2.9220657276995303"/>
  </r>
  <r>
    <x v="173"/>
    <x v="307"/>
    <n v="1142"/>
    <n v="13"/>
    <x v="0"/>
    <x v="10"/>
    <s v="UPI"/>
    <x v="239"/>
    <s v="Mrs. Jennifer Lewis"/>
    <x v="3"/>
    <s v="San Francisco"/>
    <n v="6.8633975481611209"/>
  </r>
  <r>
    <x v="173"/>
    <x v="308"/>
    <n v="3146"/>
    <n v="6"/>
    <x v="0"/>
    <x v="10"/>
    <s v="Credit Card"/>
    <x v="239"/>
    <s v="Mrs. Jennifer Lewis"/>
    <x v="3"/>
    <s v="San Francisco"/>
    <n v="2.9561347743165927"/>
  </r>
  <r>
    <x v="173"/>
    <x v="309"/>
    <n v="133"/>
    <n v="17"/>
    <x v="1"/>
    <x v="8"/>
    <s v="Debit Card"/>
    <x v="239"/>
    <s v="Mrs. Jennifer Lewis"/>
    <x v="3"/>
    <s v="San Francisco"/>
    <n v="13.030075187969924"/>
  </r>
  <r>
    <x v="174"/>
    <x v="310"/>
    <n v="235"/>
    <n v="15"/>
    <x v="1"/>
    <x v="9"/>
    <s v="Debit Card"/>
    <x v="240"/>
    <s v="Bryan Brown"/>
    <x v="2"/>
    <s v="Rochester"/>
    <n v="3.7191489361702126"/>
  </r>
  <r>
    <x v="174"/>
    <x v="310"/>
    <n v="235"/>
    <n v="15"/>
    <x v="1"/>
    <x v="9"/>
    <s v="Debit Card"/>
    <x v="241"/>
    <s v="Christopher Johnson"/>
    <x v="0"/>
    <s v="Miami"/>
    <n v="3.7191489361702126"/>
  </r>
  <r>
    <x v="175"/>
    <x v="311"/>
    <n v="584"/>
    <n v="13"/>
    <x v="1"/>
    <x v="2"/>
    <s v="EMI"/>
    <x v="242"/>
    <s v="Christina Conner"/>
    <x v="5"/>
    <s v="Columbus"/>
    <n v="2.1369863013698631"/>
  </r>
  <r>
    <x v="175"/>
    <x v="311"/>
    <n v="584"/>
    <n v="13"/>
    <x v="1"/>
    <x v="2"/>
    <s v="EMI"/>
    <x v="243"/>
    <s v="Luis Luna"/>
    <x v="3"/>
    <s v="San Francisco"/>
    <n v="2.1369863013698631"/>
  </r>
  <r>
    <x v="175"/>
    <x v="312"/>
    <n v="154"/>
    <n v="14"/>
    <x v="1"/>
    <x v="6"/>
    <s v="EMI"/>
    <x v="242"/>
    <s v="Christina Conner"/>
    <x v="5"/>
    <s v="Columbus"/>
    <n v="23.824675324675326"/>
  </r>
  <r>
    <x v="175"/>
    <x v="312"/>
    <n v="154"/>
    <n v="14"/>
    <x v="1"/>
    <x v="6"/>
    <s v="EMI"/>
    <x v="243"/>
    <s v="Luis Luna"/>
    <x v="3"/>
    <s v="San Francisco"/>
    <n v="23.824675324675326"/>
  </r>
  <r>
    <x v="175"/>
    <x v="313"/>
    <n v="109"/>
    <n v="15"/>
    <x v="1"/>
    <x v="8"/>
    <s v="Debit Card"/>
    <x v="242"/>
    <s v="Christina Conner"/>
    <x v="5"/>
    <s v="Columbus"/>
    <n v="4.7155963302752291"/>
  </r>
  <r>
    <x v="175"/>
    <x v="313"/>
    <n v="109"/>
    <n v="15"/>
    <x v="1"/>
    <x v="8"/>
    <s v="Debit Card"/>
    <x v="243"/>
    <s v="Luis Luna"/>
    <x v="3"/>
    <s v="San Francisco"/>
    <n v="4.7155963302752291"/>
  </r>
  <r>
    <x v="176"/>
    <x v="314"/>
    <n v="85"/>
    <n v="16"/>
    <x v="0"/>
    <x v="10"/>
    <s v="UPI"/>
    <x v="244"/>
    <s v="Julie Chavez"/>
    <x v="5"/>
    <s v="Cincinnati"/>
    <n v="38.505882352941178"/>
  </r>
  <r>
    <x v="177"/>
    <x v="315"/>
    <n v="2008"/>
    <n v="2"/>
    <x v="2"/>
    <x v="5"/>
    <s v="COD"/>
    <x v="245"/>
    <s v="Richard Blair"/>
    <x v="0"/>
    <s v="Miami"/>
    <n v="2.5074701195219125"/>
  </r>
  <r>
    <x v="177"/>
    <x v="316"/>
    <n v="60"/>
    <n v="19"/>
    <x v="0"/>
    <x v="1"/>
    <s v="UPI"/>
    <x v="245"/>
    <s v="Richard Blair"/>
    <x v="0"/>
    <s v="Miami"/>
    <n v="128.36666666666667"/>
  </r>
  <r>
    <x v="177"/>
    <x v="317"/>
    <n v="4446"/>
    <n v="7"/>
    <x v="0"/>
    <x v="1"/>
    <s v="EMI"/>
    <x v="245"/>
    <s v="Richard Blair"/>
    <x v="0"/>
    <s v="Miami"/>
    <n v="2.2231219073324335"/>
  </r>
  <r>
    <x v="178"/>
    <x v="318"/>
    <n v="175"/>
    <n v="11"/>
    <x v="0"/>
    <x v="3"/>
    <s v="COD"/>
    <x v="246"/>
    <s v="Mitchell Lester"/>
    <x v="1"/>
    <s v="Chicago"/>
    <n v="31.794285714285714"/>
  </r>
  <r>
    <x v="178"/>
    <x v="318"/>
    <n v="175"/>
    <n v="11"/>
    <x v="0"/>
    <x v="3"/>
    <s v="COD"/>
    <x v="247"/>
    <s v="Mr. John Tyler PhD"/>
    <x v="4"/>
    <s v="Houston"/>
    <n v="31.794285714285714"/>
  </r>
  <r>
    <x v="178"/>
    <x v="318"/>
    <n v="175"/>
    <n v="11"/>
    <x v="0"/>
    <x v="3"/>
    <s v="COD"/>
    <x v="248"/>
    <s v="Juan Kelly"/>
    <x v="0"/>
    <s v="Miami"/>
    <n v="31.794285714285714"/>
  </r>
  <r>
    <x v="178"/>
    <x v="319"/>
    <n v="1776"/>
    <n v="15"/>
    <x v="0"/>
    <x v="0"/>
    <s v="UPI"/>
    <x v="246"/>
    <s v="Mitchell Lester"/>
    <x v="1"/>
    <s v="Chicago"/>
    <n v="2.2257882882882885"/>
  </r>
  <r>
    <x v="178"/>
    <x v="319"/>
    <n v="1776"/>
    <n v="15"/>
    <x v="0"/>
    <x v="0"/>
    <s v="UPI"/>
    <x v="247"/>
    <s v="Mr. John Tyler PhD"/>
    <x v="4"/>
    <s v="Houston"/>
    <n v="2.2257882882882885"/>
  </r>
  <r>
    <x v="178"/>
    <x v="319"/>
    <n v="1776"/>
    <n v="15"/>
    <x v="0"/>
    <x v="0"/>
    <s v="UPI"/>
    <x v="248"/>
    <s v="Juan Kelly"/>
    <x v="0"/>
    <s v="Miami"/>
    <n v="2.2257882882882885"/>
  </r>
  <r>
    <x v="179"/>
    <x v="320"/>
    <n v="1591"/>
    <n v="18"/>
    <x v="0"/>
    <x v="1"/>
    <s v="EMI"/>
    <x v="249"/>
    <s v="Morgan Mccarthy"/>
    <x v="4"/>
    <s v="Dallas"/>
    <n v="4.0779384035197985"/>
  </r>
  <r>
    <x v="179"/>
    <x v="320"/>
    <n v="1591"/>
    <n v="18"/>
    <x v="0"/>
    <x v="1"/>
    <s v="EMI"/>
    <x v="250"/>
    <s v="Morgan Sullivan"/>
    <x v="4"/>
    <s v="Houston"/>
    <n v="4.0779384035197985"/>
  </r>
  <r>
    <x v="180"/>
    <x v="321"/>
    <n v="3699"/>
    <n v="17"/>
    <x v="0"/>
    <x v="0"/>
    <s v="UPI"/>
    <x v="118"/>
    <s v="Eric Clark"/>
    <x v="0"/>
    <s v="Orlando"/>
    <n v="2.1238172479048392"/>
  </r>
  <r>
    <x v="180"/>
    <x v="322"/>
    <n v="51"/>
    <n v="3"/>
    <x v="1"/>
    <x v="2"/>
    <s v="EMI"/>
    <x v="118"/>
    <s v="Eric Clark"/>
    <x v="0"/>
    <s v="Orlando"/>
    <n v="22.843137254901961"/>
  </r>
  <r>
    <x v="181"/>
    <x v="323"/>
    <n v="2555"/>
    <n v="20"/>
    <x v="1"/>
    <x v="6"/>
    <s v="Credit Card"/>
    <x v="251"/>
    <s v="Mark Padilla"/>
    <x v="3"/>
    <s v="San Diego"/>
    <n v="3.6735812133072407"/>
  </r>
  <r>
    <x v="181"/>
    <x v="323"/>
    <n v="2555"/>
    <n v="20"/>
    <x v="1"/>
    <x v="6"/>
    <s v="Credit Card"/>
    <x v="117"/>
    <s v="Anthony Lane"/>
    <x v="5"/>
    <s v="Cleveland"/>
    <n v="3.6735812133072407"/>
  </r>
  <r>
    <x v="182"/>
    <x v="324"/>
    <n v="142"/>
    <n v="12"/>
    <x v="1"/>
    <x v="2"/>
    <s v="Debit Card"/>
    <x v="100"/>
    <s v="Jeffrey Henderson"/>
    <x v="0"/>
    <s v="Tampa"/>
    <n v="27.859154929577464"/>
  </r>
  <r>
    <x v="182"/>
    <x v="324"/>
    <n v="142"/>
    <n v="12"/>
    <x v="1"/>
    <x v="2"/>
    <s v="Debit Card"/>
    <x v="252"/>
    <s v="Michelle Hardy"/>
    <x v="4"/>
    <s v="Dallas"/>
    <n v="27.859154929577464"/>
  </r>
  <r>
    <x v="182"/>
    <x v="325"/>
    <n v="2628"/>
    <n v="11"/>
    <x v="2"/>
    <x v="11"/>
    <s v="EMI"/>
    <x v="100"/>
    <s v="Jeffrey Henderson"/>
    <x v="0"/>
    <s v="Tampa"/>
    <n v="2.4539573820395737"/>
  </r>
  <r>
    <x v="182"/>
    <x v="325"/>
    <n v="2628"/>
    <n v="11"/>
    <x v="2"/>
    <x v="11"/>
    <s v="EMI"/>
    <x v="252"/>
    <s v="Michelle Hardy"/>
    <x v="4"/>
    <s v="Dallas"/>
    <n v="2.4539573820395737"/>
  </r>
  <r>
    <x v="183"/>
    <x v="326"/>
    <n v="437"/>
    <n v="18"/>
    <x v="1"/>
    <x v="6"/>
    <s v="COD"/>
    <x v="253"/>
    <s v="Ms. Barbara Cervantes"/>
    <x v="2"/>
    <s v="Rochester"/>
    <n v="14.313501144164761"/>
  </r>
  <r>
    <x v="183"/>
    <x v="327"/>
    <n v="681"/>
    <n v="20"/>
    <x v="0"/>
    <x v="0"/>
    <s v="UPI"/>
    <x v="253"/>
    <s v="Ms. Barbara Cervantes"/>
    <x v="2"/>
    <s v="Rochester"/>
    <n v="3.0969162995594712"/>
  </r>
  <r>
    <x v="184"/>
    <x v="328"/>
    <n v="1041"/>
    <n v="20"/>
    <x v="0"/>
    <x v="10"/>
    <s v="Credit Card"/>
    <x v="254"/>
    <s v="Steven Proctor"/>
    <x v="4"/>
    <s v="Austin"/>
    <n v="6.442843419788665"/>
  </r>
  <r>
    <x v="185"/>
    <x v="329"/>
    <n v="184"/>
    <n v="13"/>
    <x v="1"/>
    <x v="2"/>
    <s v="COD"/>
    <x v="255"/>
    <s v="Shannon Patterson"/>
    <x v="1"/>
    <s v="Springfield"/>
    <n v="41.483695652173914"/>
  </r>
  <r>
    <x v="186"/>
    <x v="330"/>
    <n v="224"/>
    <n v="18"/>
    <x v="1"/>
    <x v="2"/>
    <s v="COD"/>
    <x v="256"/>
    <s v="William Valdez"/>
    <x v="3"/>
    <s v="San Diego"/>
    <n v="4.3526785714285712"/>
  </r>
  <r>
    <x v="186"/>
    <x v="331"/>
    <n v="1450"/>
    <n v="7"/>
    <x v="2"/>
    <x v="4"/>
    <s v="EMI"/>
    <x v="256"/>
    <s v="William Valdez"/>
    <x v="3"/>
    <s v="San Diego"/>
    <n v="3.0979310344827584"/>
  </r>
  <r>
    <x v="186"/>
    <x v="332"/>
    <n v="2834"/>
    <n v="12"/>
    <x v="2"/>
    <x v="5"/>
    <s v="UPI"/>
    <x v="256"/>
    <s v="William Valdez"/>
    <x v="3"/>
    <s v="San Diego"/>
    <n v="2.8076923076923075"/>
  </r>
  <r>
    <x v="187"/>
    <x v="333"/>
    <n v="975"/>
    <n v="7"/>
    <x v="2"/>
    <x v="4"/>
    <s v="Debit Card"/>
    <x v="257"/>
    <s v="Laura Yu"/>
    <x v="4"/>
    <s v="Houston"/>
    <n v="5.0317948717948715"/>
  </r>
  <r>
    <x v="188"/>
    <x v="334"/>
    <n v="250"/>
    <n v="3"/>
    <x v="1"/>
    <x v="2"/>
    <s v="Credit Card"/>
    <x v="258"/>
    <s v="Jonathan Mcmillan"/>
    <x v="2"/>
    <s v="Buffalo"/>
    <n v="5.516"/>
  </r>
  <r>
    <x v="188"/>
    <x v="335"/>
    <n v="340"/>
    <n v="10"/>
    <x v="0"/>
    <x v="3"/>
    <s v="Debit Card"/>
    <x v="258"/>
    <s v="Jonathan Mcmillan"/>
    <x v="2"/>
    <s v="Buffalo"/>
    <n v="12.482352941176471"/>
  </r>
  <r>
    <x v="189"/>
    <x v="336"/>
    <n v="2333"/>
    <n v="14"/>
    <x v="2"/>
    <x v="11"/>
    <s v="EMI"/>
    <x v="259"/>
    <s v="Austin Davis"/>
    <x v="3"/>
    <s v="San Diego"/>
    <n v="2.5336476639519931"/>
  </r>
  <r>
    <x v="189"/>
    <x v="336"/>
    <n v="2333"/>
    <n v="14"/>
    <x v="2"/>
    <x v="11"/>
    <s v="EMI"/>
    <x v="260"/>
    <s v="Mark Roy"/>
    <x v="3"/>
    <s v="San Francisco"/>
    <n v="2.5336476639519931"/>
  </r>
  <r>
    <x v="189"/>
    <x v="337"/>
    <n v="738"/>
    <n v="11"/>
    <x v="1"/>
    <x v="6"/>
    <s v="EMI"/>
    <x v="259"/>
    <s v="Austin Davis"/>
    <x v="3"/>
    <s v="San Diego"/>
    <n v="2.4634146341463414"/>
  </r>
  <r>
    <x v="189"/>
    <x v="337"/>
    <n v="738"/>
    <n v="11"/>
    <x v="1"/>
    <x v="6"/>
    <s v="EMI"/>
    <x v="260"/>
    <s v="Mark Roy"/>
    <x v="3"/>
    <s v="San Francisco"/>
    <n v="2.4634146341463414"/>
  </r>
  <r>
    <x v="190"/>
    <x v="338"/>
    <n v="970"/>
    <n v="4"/>
    <x v="1"/>
    <x v="8"/>
    <s v="Credit Card"/>
    <x v="224"/>
    <s v="Jillian Williams"/>
    <x v="3"/>
    <s v="San Diego"/>
    <n v="2.2061855670103094"/>
  </r>
  <r>
    <x v="190"/>
    <x v="338"/>
    <n v="970"/>
    <n v="4"/>
    <x v="1"/>
    <x v="8"/>
    <s v="Credit Card"/>
    <x v="261"/>
    <s v="Rebekah Carter"/>
    <x v="0"/>
    <s v="Orlando"/>
    <n v="2.2061855670103094"/>
  </r>
  <r>
    <x v="190"/>
    <x v="338"/>
    <n v="970"/>
    <n v="4"/>
    <x v="1"/>
    <x v="8"/>
    <s v="Credit Card"/>
    <x v="105"/>
    <s v="Jonathan Reed"/>
    <x v="3"/>
    <s v="San Francisco"/>
    <n v="2.2061855670103094"/>
  </r>
  <r>
    <x v="190"/>
    <x v="339"/>
    <n v="1026"/>
    <n v="1"/>
    <x v="0"/>
    <x v="3"/>
    <s v="Debit Card"/>
    <x v="224"/>
    <s v="Jillian Williams"/>
    <x v="3"/>
    <s v="San Diego"/>
    <n v="2.6023391812865495"/>
  </r>
  <r>
    <x v="190"/>
    <x v="339"/>
    <n v="1026"/>
    <n v="1"/>
    <x v="0"/>
    <x v="3"/>
    <s v="Debit Card"/>
    <x v="261"/>
    <s v="Rebekah Carter"/>
    <x v="0"/>
    <s v="Orlando"/>
    <n v="2.6023391812865495"/>
  </r>
  <r>
    <x v="190"/>
    <x v="339"/>
    <n v="1026"/>
    <n v="1"/>
    <x v="0"/>
    <x v="3"/>
    <s v="Debit Card"/>
    <x v="105"/>
    <s v="Jonathan Reed"/>
    <x v="3"/>
    <s v="San Francisco"/>
    <n v="2.6023391812865495"/>
  </r>
  <r>
    <x v="191"/>
    <x v="340"/>
    <n v="167"/>
    <n v="18"/>
    <x v="0"/>
    <x v="3"/>
    <s v="Debit Card"/>
    <x v="262"/>
    <s v="Roger Harris"/>
    <x v="1"/>
    <s v="Springfield"/>
    <n v="6.634730538922156"/>
  </r>
  <r>
    <x v="191"/>
    <x v="341"/>
    <n v="3750"/>
    <n v="9"/>
    <x v="1"/>
    <x v="9"/>
    <s v="UPI"/>
    <x v="262"/>
    <s v="Roger Harris"/>
    <x v="1"/>
    <s v="Springfield"/>
    <n v="2.6069333333333335"/>
  </r>
  <r>
    <x v="191"/>
    <x v="342"/>
    <n v="72"/>
    <n v="6"/>
    <x v="2"/>
    <x v="11"/>
    <s v="COD"/>
    <x v="262"/>
    <s v="Roger Harris"/>
    <x v="1"/>
    <s v="Springfield"/>
    <n v="7.4305555555555554"/>
  </r>
  <r>
    <x v="192"/>
    <x v="343"/>
    <n v="3463"/>
    <n v="5"/>
    <x v="1"/>
    <x v="8"/>
    <s v="Credit Card"/>
    <x v="194"/>
    <s v="Louis Jimenez"/>
    <x v="0"/>
    <s v="Tampa"/>
    <n v="2.184233323707768"/>
  </r>
  <r>
    <x v="192"/>
    <x v="343"/>
    <n v="3463"/>
    <n v="5"/>
    <x v="1"/>
    <x v="8"/>
    <s v="Credit Card"/>
    <x v="263"/>
    <s v="Jessica Jones"/>
    <x v="1"/>
    <s v="Peoria"/>
    <n v="2.184233323707768"/>
  </r>
  <r>
    <x v="192"/>
    <x v="343"/>
    <n v="3463"/>
    <n v="5"/>
    <x v="1"/>
    <x v="8"/>
    <s v="Credit Card"/>
    <x v="264"/>
    <s v="Renee Gomez"/>
    <x v="0"/>
    <s v="Miami"/>
    <n v="2.184233323707768"/>
  </r>
  <r>
    <x v="192"/>
    <x v="343"/>
    <n v="3463"/>
    <n v="5"/>
    <x v="1"/>
    <x v="8"/>
    <s v="Credit Card"/>
    <x v="265"/>
    <s v="Connie Olson"/>
    <x v="4"/>
    <s v="Houston"/>
    <n v="2.184233323707768"/>
  </r>
  <r>
    <x v="192"/>
    <x v="344"/>
    <n v="1605"/>
    <n v="20"/>
    <x v="0"/>
    <x v="0"/>
    <s v="UPI"/>
    <x v="194"/>
    <s v="Louis Jimenez"/>
    <x v="0"/>
    <s v="Tampa"/>
    <n v="2.1239875389408098"/>
  </r>
  <r>
    <x v="192"/>
    <x v="344"/>
    <n v="1605"/>
    <n v="20"/>
    <x v="0"/>
    <x v="0"/>
    <s v="UPI"/>
    <x v="263"/>
    <s v="Jessica Jones"/>
    <x v="1"/>
    <s v="Peoria"/>
    <n v="2.1239875389408098"/>
  </r>
  <r>
    <x v="192"/>
    <x v="344"/>
    <n v="1605"/>
    <n v="20"/>
    <x v="0"/>
    <x v="0"/>
    <s v="UPI"/>
    <x v="264"/>
    <s v="Renee Gomez"/>
    <x v="0"/>
    <s v="Miami"/>
    <n v="2.1239875389408098"/>
  </r>
  <r>
    <x v="192"/>
    <x v="344"/>
    <n v="1605"/>
    <n v="20"/>
    <x v="0"/>
    <x v="0"/>
    <s v="UPI"/>
    <x v="265"/>
    <s v="Connie Olson"/>
    <x v="4"/>
    <s v="Houston"/>
    <n v="2.1239875389408098"/>
  </r>
  <r>
    <x v="193"/>
    <x v="345"/>
    <n v="2459"/>
    <n v="13"/>
    <x v="1"/>
    <x v="2"/>
    <s v="COD"/>
    <x v="266"/>
    <s v="Christian Jones"/>
    <x v="2"/>
    <s v="Buffalo"/>
    <n v="3.9654331028873524"/>
  </r>
  <r>
    <x v="194"/>
    <x v="346"/>
    <n v="2656"/>
    <n v="11"/>
    <x v="0"/>
    <x v="1"/>
    <s v="Credit Card"/>
    <x v="267"/>
    <s v="Matthew Kelley"/>
    <x v="0"/>
    <s v="Orlando"/>
    <n v="2.4039909638554215"/>
  </r>
  <r>
    <x v="194"/>
    <x v="346"/>
    <n v="2656"/>
    <n v="11"/>
    <x v="0"/>
    <x v="1"/>
    <s v="Credit Card"/>
    <x v="268"/>
    <s v="Candace Martinez"/>
    <x v="0"/>
    <s v="Tampa"/>
    <n v="2.4039909638554215"/>
  </r>
  <r>
    <x v="195"/>
    <x v="347"/>
    <n v="1335"/>
    <n v="15"/>
    <x v="0"/>
    <x v="0"/>
    <s v="Debit Card"/>
    <x v="269"/>
    <s v="Jacob Mann"/>
    <x v="4"/>
    <s v="Austin"/>
    <n v="4.7602996254681651"/>
  </r>
  <r>
    <x v="195"/>
    <x v="347"/>
    <n v="1335"/>
    <n v="15"/>
    <x v="0"/>
    <x v="0"/>
    <s v="Debit Card"/>
    <x v="270"/>
    <s v="Keith Reese"/>
    <x v="4"/>
    <s v="Austin"/>
    <n v="4.7602996254681651"/>
  </r>
  <r>
    <x v="196"/>
    <x v="348"/>
    <n v="320"/>
    <n v="15"/>
    <x v="0"/>
    <x v="1"/>
    <s v="Debit Card"/>
    <x v="271"/>
    <s v="Aaron Jones"/>
    <x v="4"/>
    <s v="Austin"/>
    <n v="23.053125000000001"/>
  </r>
  <r>
    <x v="196"/>
    <x v="349"/>
    <n v="371"/>
    <n v="12"/>
    <x v="1"/>
    <x v="6"/>
    <s v="EMI"/>
    <x v="271"/>
    <s v="Aaron Jones"/>
    <x v="4"/>
    <s v="Austin"/>
    <n v="5.5363881401617254"/>
  </r>
  <r>
    <x v="197"/>
    <x v="350"/>
    <n v="319"/>
    <n v="18"/>
    <x v="2"/>
    <x v="5"/>
    <s v="COD"/>
    <x v="272"/>
    <s v="Christopher Brooks"/>
    <x v="1"/>
    <s v="Peoria"/>
    <n v="23.501567398119121"/>
  </r>
  <r>
    <x v="198"/>
    <x v="351"/>
    <n v="983"/>
    <n v="20"/>
    <x v="0"/>
    <x v="0"/>
    <s v="Debit Card"/>
    <x v="61"/>
    <s v="Charles Moore"/>
    <x v="0"/>
    <s v="Miami"/>
    <n v="2.6093591047812819"/>
  </r>
  <r>
    <x v="198"/>
    <x v="352"/>
    <n v="1544"/>
    <n v="19"/>
    <x v="1"/>
    <x v="2"/>
    <s v="COD"/>
    <x v="61"/>
    <s v="Charles Moore"/>
    <x v="0"/>
    <s v="Miami"/>
    <n v="3.2538860103626943"/>
  </r>
  <r>
    <x v="199"/>
    <x v="353"/>
    <n v="1346"/>
    <n v="15"/>
    <x v="1"/>
    <x v="9"/>
    <s v="Debit Card"/>
    <x v="273"/>
    <s v="Manuel Walls"/>
    <x v="4"/>
    <s v="Houston"/>
    <n v="6.1240713224368495"/>
  </r>
  <r>
    <x v="200"/>
    <x v="354"/>
    <n v="1403"/>
    <n v="13"/>
    <x v="1"/>
    <x v="8"/>
    <s v="UPI"/>
    <x v="274"/>
    <s v="Darren Moore"/>
    <x v="1"/>
    <s v="Peoria"/>
    <n v="5.553813257305773"/>
  </r>
  <r>
    <x v="200"/>
    <x v="354"/>
    <n v="1403"/>
    <n v="13"/>
    <x v="1"/>
    <x v="8"/>
    <s v="UPI"/>
    <x v="243"/>
    <s v="Stephanie Thomas"/>
    <x v="2"/>
    <s v="Rochester"/>
    <n v="5.553813257305773"/>
  </r>
  <r>
    <x v="200"/>
    <x v="354"/>
    <n v="1403"/>
    <n v="13"/>
    <x v="1"/>
    <x v="8"/>
    <s v="UPI"/>
    <x v="275"/>
    <s v="Kristy Hernandez"/>
    <x v="3"/>
    <s v="San Diego"/>
    <n v="5.553813257305773"/>
  </r>
  <r>
    <x v="200"/>
    <x v="355"/>
    <n v="388"/>
    <n v="14"/>
    <x v="2"/>
    <x v="5"/>
    <s v="Debit Card"/>
    <x v="274"/>
    <s v="Darren Moore"/>
    <x v="1"/>
    <s v="Peoria"/>
    <n v="6.0463917525773194"/>
  </r>
  <r>
    <x v="200"/>
    <x v="355"/>
    <n v="388"/>
    <n v="14"/>
    <x v="2"/>
    <x v="5"/>
    <s v="Debit Card"/>
    <x v="243"/>
    <s v="Stephanie Thomas"/>
    <x v="2"/>
    <s v="Rochester"/>
    <n v="6.0463917525773194"/>
  </r>
  <r>
    <x v="200"/>
    <x v="355"/>
    <n v="388"/>
    <n v="14"/>
    <x v="2"/>
    <x v="5"/>
    <s v="Debit Card"/>
    <x v="275"/>
    <s v="Kristy Hernandez"/>
    <x v="3"/>
    <s v="San Diego"/>
    <n v="6.0463917525773194"/>
  </r>
  <r>
    <x v="201"/>
    <x v="356"/>
    <n v="1043"/>
    <n v="10"/>
    <x v="2"/>
    <x v="7"/>
    <s v="Credit Card"/>
    <x v="276"/>
    <s v="Randy Johnson"/>
    <x v="5"/>
    <s v="Columbus"/>
    <n v="7.0431447746883986"/>
  </r>
  <r>
    <x v="201"/>
    <x v="357"/>
    <n v="4132"/>
    <n v="7"/>
    <x v="0"/>
    <x v="0"/>
    <s v="UPI"/>
    <x v="276"/>
    <s v="Randy Johnson"/>
    <x v="5"/>
    <s v="Columbus"/>
    <n v="2.3644724104549857"/>
  </r>
  <r>
    <x v="201"/>
    <x v="358"/>
    <n v="683"/>
    <n v="13"/>
    <x v="0"/>
    <x v="3"/>
    <s v="Credit Card"/>
    <x v="276"/>
    <s v="Randy Johnson"/>
    <x v="5"/>
    <s v="Columbus"/>
    <n v="10.510980966325036"/>
  </r>
  <r>
    <x v="202"/>
    <x v="359"/>
    <n v="2389"/>
    <n v="2"/>
    <x v="0"/>
    <x v="10"/>
    <s v="UPI"/>
    <x v="277"/>
    <s v="James Benitez"/>
    <x v="0"/>
    <s v="Miami"/>
    <n v="2.280870657178736"/>
  </r>
  <r>
    <x v="203"/>
    <x v="360"/>
    <n v="104"/>
    <n v="6"/>
    <x v="2"/>
    <x v="5"/>
    <s v="COD"/>
    <x v="278"/>
    <s v="Donald York"/>
    <x v="2"/>
    <s v="Buffalo"/>
    <n v="27.83653846153846"/>
  </r>
  <r>
    <x v="203"/>
    <x v="360"/>
    <n v="104"/>
    <n v="6"/>
    <x v="2"/>
    <x v="5"/>
    <s v="COD"/>
    <x v="279"/>
    <s v="Tiffany Parker"/>
    <x v="4"/>
    <s v="Houston"/>
    <n v="27.83653846153846"/>
  </r>
  <r>
    <x v="203"/>
    <x v="361"/>
    <n v="116"/>
    <n v="1"/>
    <x v="2"/>
    <x v="5"/>
    <s v="UPI"/>
    <x v="278"/>
    <s v="Donald York"/>
    <x v="2"/>
    <s v="Buffalo"/>
    <n v="6.0086206896551726"/>
  </r>
  <r>
    <x v="203"/>
    <x v="361"/>
    <n v="116"/>
    <n v="1"/>
    <x v="2"/>
    <x v="5"/>
    <s v="UPI"/>
    <x v="279"/>
    <s v="Tiffany Parker"/>
    <x v="4"/>
    <s v="Houston"/>
    <n v="6.0086206896551726"/>
  </r>
  <r>
    <x v="204"/>
    <x v="362"/>
    <n v="1414"/>
    <n v="4"/>
    <x v="2"/>
    <x v="5"/>
    <s v="COD"/>
    <x v="280"/>
    <s v="Melissa Mcknight"/>
    <x v="3"/>
    <s v="Los Angeles"/>
    <n v="4.3458274398868459"/>
  </r>
  <r>
    <x v="204"/>
    <x v="363"/>
    <n v="440"/>
    <n v="18"/>
    <x v="0"/>
    <x v="1"/>
    <s v="UPI"/>
    <x v="280"/>
    <s v="Melissa Mcknight"/>
    <x v="3"/>
    <s v="Los Angeles"/>
    <n v="5.6909090909090905"/>
  </r>
  <r>
    <x v="204"/>
    <x v="364"/>
    <n v="138"/>
    <n v="16"/>
    <x v="0"/>
    <x v="10"/>
    <s v="Debit Card"/>
    <x v="280"/>
    <s v="Melissa Mcknight"/>
    <x v="3"/>
    <s v="Los Angeles"/>
    <n v="22.637681159420289"/>
  </r>
  <r>
    <x v="205"/>
    <x v="286"/>
    <n v="1226"/>
    <n v="1"/>
    <x v="0"/>
    <x v="0"/>
    <s v="Debit Card"/>
    <x v="281"/>
    <s v="Mr. Jack Mercado"/>
    <x v="5"/>
    <s v="Cincinnati"/>
    <n v="5.6557911908646004"/>
  </r>
  <r>
    <x v="205"/>
    <x v="286"/>
    <n v="1226"/>
    <n v="1"/>
    <x v="0"/>
    <x v="0"/>
    <s v="Debit Card"/>
    <x v="76"/>
    <s v="Christian Jones"/>
    <x v="2"/>
    <s v="Rochester"/>
    <n v="5.6557911908646004"/>
  </r>
  <r>
    <x v="206"/>
    <x v="365"/>
    <n v="1171"/>
    <n v="3"/>
    <x v="1"/>
    <x v="6"/>
    <s v="COD"/>
    <x v="282"/>
    <s v="Rachel Fisher"/>
    <x v="1"/>
    <s v="Peoria"/>
    <n v="3.588385994876174"/>
  </r>
  <r>
    <x v="206"/>
    <x v="365"/>
    <n v="1171"/>
    <n v="3"/>
    <x v="1"/>
    <x v="6"/>
    <s v="COD"/>
    <x v="283"/>
    <s v="Donald Moore"/>
    <x v="2"/>
    <s v="Rochester"/>
    <n v="3.588385994876174"/>
  </r>
  <r>
    <x v="206"/>
    <x v="365"/>
    <n v="1171"/>
    <n v="3"/>
    <x v="1"/>
    <x v="6"/>
    <s v="COD"/>
    <x v="284"/>
    <s v="William Wu"/>
    <x v="0"/>
    <s v="Tampa"/>
    <n v="3.588385994876174"/>
  </r>
  <r>
    <x v="206"/>
    <x v="365"/>
    <n v="1171"/>
    <n v="3"/>
    <x v="1"/>
    <x v="6"/>
    <s v="COD"/>
    <x v="6"/>
    <s v="Jesus Zuniga"/>
    <x v="4"/>
    <s v="Houston"/>
    <n v="3.588385994876174"/>
  </r>
  <r>
    <x v="207"/>
    <x v="366"/>
    <n v="828"/>
    <n v="1"/>
    <x v="0"/>
    <x v="1"/>
    <s v="UPI"/>
    <x v="285"/>
    <s v="Michael Gallegos"/>
    <x v="3"/>
    <s v="Los Angeles"/>
    <n v="2.7041062801932365"/>
  </r>
  <r>
    <x v="207"/>
    <x v="366"/>
    <n v="828"/>
    <n v="1"/>
    <x v="0"/>
    <x v="1"/>
    <s v="UPI"/>
    <x v="286"/>
    <s v="Robert Daniels"/>
    <x v="1"/>
    <s v="Chicago"/>
    <n v="2.7041062801932365"/>
  </r>
  <r>
    <x v="207"/>
    <x v="367"/>
    <n v="1002"/>
    <n v="4"/>
    <x v="0"/>
    <x v="10"/>
    <s v="Debit Card"/>
    <x v="285"/>
    <s v="Michael Gallegos"/>
    <x v="3"/>
    <s v="Los Angeles"/>
    <n v="2.4451097804391217"/>
  </r>
  <r>
    <x v="207"/>
    <x v="367"/>
    <n v="1002"/>
    <n v="4"/>
    <x v="0"/>
    <x v="10"/>
    <s v="Debit Card"/>
    <x v="286"/>
    <s v="Robert Daniels"/>
    <x v="1"/>
    <s v="Chicago"/>
    <n v="2.4451097804391217"/>
  </r>
  <r>
    <x v="208"/>
    <x v="368"/>
    <n v="4208"/>
    <n v="13"/>
    <x v="2"/>
    <x v="5"/>
    <s v="Debit Card"/>
    <x v="287"/>
    <s v="Jill Jones"/>
    <x v="2"/>
    <s v="New York City"/>
    <n v="2.3353136882129277"/>
  </r>
  <r>
    <x v="208"/>
    <x v="369"/>
    <n v="240"/>
    <n v="15"/>
    <x v="2"/>
    <x v="7"/>
    <s v="Credit Card"/>
    <x v="287"/>
    <s v="Jill Jones"/>
    <x v="2"/>
    <s v="New York City"/>
    <n v="33.654166666666669"/>
  </r>
  <r>
    <x v="209"/>
    <x v="370"/>
    <n v="2045"/>
    <n v="14"/>
    <x v="0"/>
    <x v="10"/>
    <s v="UPI"/>
    <x v="288"/>
    <s v="Elizabeth Miller"/>
    <x v="1"/>
    <s v="Springfield"/>
    <n v="2.5193154034229828"/>
  </r>
  <r>
    <x v="209"/>
    <x v="370"/>
    <n v="2045"/>
    <n v="14"/>
    <x v="0"/>
    <x v="10"/>
    <s v="UPI"/>
    <x v="289"/>
    <s v="Sabrina Clark"/>
    <x v="3"/>
    <s v="Los Angeles"/>
    <n v="2.5193154034229828"/>
  </r>
  <r>
    <x v="209"/>
    <x v="370"/>
    <n v="2045"/>
    <n v="14"/>
    <x v="0"/>
    <x v="10"/>
    <s v="UPI"/>
    <x v="290"/>
    <s v="Larry Casey"/>
    <x v="1"/>
    <s v="Chicago"/>
    <n v="2.5193154034229828"/>
  </r>
  <r>
    <x v="209"/>
    <x v="370"/>
    <n v="2045"/>
    <n v="14"/>
    <x v="0"/>
    <x v="10"/>
    <s v="UPI"/>
    <x v="291"/>
    <s v="Daniel Burns"/>
    <x v="2"/>
    <s v="Rochester"/>
    <n v="2.5193154034229828"/>
  </r>
  <r>
    <x v="210"/>
    <x v="371"/>
    <n v="190"/>
    <n v="1"/>
    <x v="1"/>
    <x v="6"/>
    <s v="Credit Card"/>
    <x v="292"/>
    <s v="James Tanner"/>
    <x v="4"/>
    <s v="Houston"/>
    <n v="13.378947368421052"/>
  </r>
  <r>
    <x v="211"/>
    <x v="372"/>
    <n v="1800"/>
    <n v="5"/>
    <x v="1"/>
    <x v="6"/>
    <s v="UPI"/>
    <x v="293"/>
    <s v="Leonard Gonzalez"/>
    <x v="3"/>
    <s v="San Francisco"/>
    <n v="4.5011111111111113"/>
  </r>
  <r>
    <x v="211"/>
    <x v="372"/>
    <n v="1800"/>
    <n v="5"/>
    <x v="1"/>
    <x v="6"/>
    <s v="UPI"/>
    <x v="294"/>
    <s v="Richard Lee"/>
    <x v="2"/>
    <s v="Buffalo"/>
    <n v="4.5011111111111113"/>
  </r>
  <r>
    <x v="211"/>
    <x v="372"/>
    <n v="1800"/>
    <n v="5"/>
    <x v="1"/>
    <x v="6"/>
    <s v="UPI"/>
    <x v="295"/>
    <s v="Matthew Schroeder"/>
    <x v="5"/>
    <s v="Cleveland"/>
    <n v="4.5011111111111113"/>
  </r>
  <r>
    <x v="211"/>
    <x v="133"/>
    <n v="1274"/>
    <n v="10"/>
    <x v="2"/>
    <x v="4"/>
    <s v="EMI"/>
    <x v="293"/>
    <s v="Leonard Gonzalez"/>
    <x v="3"/>
    <s v="San Francisco"/>
    <n v="2.5384615384615383"/>
  </r>
  <r>
    <x v="211"/>
    <x v="133"/>
    <n v="1274"/>
    <n v="10"/>
    <x v="2"/>
    <x v="4"/>
    <s v="EMI"/>
    <x v="294"/>
    <s v="Richard Lee"/>
    <x v="2"/>
    <s v="Buffalo"/>
    <n v="2.5384615384615383"/>
  </r>
  <r>
    <x v="211"/>
    <x v="133"/>
    <n v="1274"/>
    <n v="10"/>
    <x v="2"/>
    <x v="4"/>
    <s v="EMI"/>
    <x v="295"/>
    <s v="Matthew Schroeder"/>
    <x v="5"/>
    <s v="Cleveland"/>
    <n v="2.5384615384615383"/>
  </r>
  <r>
    <x v="212"/>
    <x v="373"/>
    <n v="2321"/>
    <n v="18"/>
    <x v="2"/>
    <x v="4"/>
    <s v="Credit Card"/>
    <x v="296"/>
    <s v="Marcus Flores"/>
    <x v="3"/>
    <s v="Los Angeles"/>
    <n v="2.6712623869021974"/>
  </r>
  <r>
    <x v="212"/>
    <x v="373"/>
    <n v="2321"/>
    <n v="18"/>
    <x v="2"/>
    <x v="4"/>
    <s v="Credit Card"/>
    <x v="297"/>
    <s v="Tonya Long"/>
    <x v="0"/>
    <s v="Miami"/>
    <n v="2.6712623869021974"/>
  </r>
  <r>
    <x v="213"/>
    <x v="374"/>
    <n v="413"/>
    <n v="13"/>
    <x v="0"/>
    <x v="3"/>
    <s v="UPI"/>
    <x v="170"/>
    <s v="Michael Chambers"/>
    <x v="3"/>
    <s v="Los Angeles"/>
    <n v="10.823244552058112"/>
  </r>
  <r>
    <x v="214"/>
    <x v="375"/>
    <n v="362"/>
    <n v="7"/>
    <x v="1"/>
    <x v="2"/>
    <s v="UPI"/>
    <x v="298"/>
    <s v="Kaylee Glover"/>
    <x v="1"/>
    <s v="Springfield"/>
    <n v="2.5303867403314917"/>
  </r>
  <r>
    <x v="214"/>
    <x v="375"/>
    <n v="362"/>
    <n v="7"/>
    <x v="1"/>
    <x v="2"/>
    <s v="UPI"/>
    <x v="299"/>
    <s v="Pamela Patterson"/>
    <x v="3"/>
    <s v="San Francisco"/>
    <n v="2.5303867403314917"/>
  </r>
  <r>
    <x v="214"/>
    <x v="322"/>
    <n v="302"/>
    <n v="20"/>
    <x v="2"/>
    <x v="7"/>
    <s v="UPI"/>
    <x v="298"/>
    <s v="Kaylee Glover"/>
    <x v="1"/>
    <s v="Springfield"/>
    <n v="3.8576158940397351"/>
  </r>
  <r>
    <x v="214"/>
    <x v="322"/>
    <n v="302"/>
    <n v="20"/>
    <x v="2"/>
    <x v="7"/>
    <s v="UPI"/>
    <x v="299"/>
    <s v="Pamela Patterson"/>
    <x v="3"/>
    <s v="San Francisco"/>
    <n v="3.8576158940397351"/>
  </r>
  <r>
    <x v="214"/>
    <x v="376"/>
    <n v="677"/>
    <n v="12"/>
    <x v="2"/>
    <x v="5"/>
    <s v="UPI"/>
    <x v="298"/>
    <s v="Kaylee Glover"/>
    <x v="1"/>
    <s v="Springfield"/>
    <n v="11.589364844903988"/>
  </r>
  <r>
    <x v="214"/>
    <x v="376"/>
    <n v="677"/>
    <n v="12"/>
    <x v="2"/>
    <x v="5"/>
    <s v="UPI"/>
    <x v="299"/>
    <s v="Pamela Patterson"/>
    <x v="3"/>
    <s v="San Francisco"/>
    <n v="11.589364844903988"/>
  </r>
  <r>
    <x v="215"/>
    <x v="377"/>
    <n v="384"/>
    <n v="1"/>
    <x v="1"/>
    <x v="2"/>
    <s v="Credit Card"/>
    <x v="300"/>
    <s v="Ronald Mckinney"/>
    <x v="4"/>
    <s v="Austin"/>
    <n v="7.869791666666667"/>
  </r>
  <r>
    <x v="215"/>
    <x v="377"/>
    <n v="384"/>
    <n v="1"/>
    <x v="1"/>
    <x v="2"/>
    <s v="Credit Card"/>
    <x v="301"/>
    <s v="James Hart"/>
    <x v="1"/>
    <s v="Chicago"/>
    <n v="7.869791666666667"/>
  </r>
  <r>
    <x v="215"/>
    <x v="378"/>
    <n v="1111"/>
    <n v="13"/>
    <x v="0"/>
    <x v="0"/>
    <s v="Debit Card"/>
    <x v="300"/>
    <s v="Ronald Mckinney"/>
    <x v="4"/>
    <s v="Austin"/>
    <n v="4.7398739873987399"/>
  </r>
  <r>
    <x v="215"/>
    <x v="378"/>
    <n v="1111"/>
    <n v="13"/>
    <x v="0"/>
    <x v="0"/>
    <s v="Debit Card"/>
    <x v="301"/>
    <s v="James Hart"/>
    <x v="1"/>
    <s v="Chicago"/>
    <n v="4.7398739873987399"/>
  </r>
  <r>
    <x v="216"/>
    <x v="379"/>
    <n v="1764"/>
    <n v="9"/>
    <x v="1"/>
    <x v="2"/>
    <s v="Debit Card"/>
    <x v="302"/>
    <s v="Rhonda Harris"/>
    <x v="0"/>
    <s v="Orlando"/>
    <n v="2.7511337868480727"/>
  </r>
  <r>
    <x v="216"/>
    <x v="379"/>
    <n v="1764"/>
    <n v="9"/>
    <x v="1"/>
    <x v="2"/>
    <s v="Debit Card"/>
    <x v="303"/>
    <s v="Randy Fisher"/>
    <x v="4"/>
    <s v="Houston"/>
    <n v="2.7511337868480727"/>
  </r>
  <r>
    <x v="217"/>
    <x v="380"/>
    <n v="1270"/>
    <n v="1"/>
    <x v="1"/>
    <x v="2"/>
    <s v="COD"/>
    <x v="23"/>
    <s v="James Hernandez"/>
    <x v="3"/>
    <s v="San Francisco"/>
    <n v="7.7417322834645672"/>
  </r>
  <r>
    <x v="217"/>
    <x v="381"/>
    <n v="153"/>
    <n v="15"/>
    <x v="1"/>
    <x v="2"/>
    <s v="Credit Card"/>
    <x v="23"/>
    <s v="James Hernandez"/>
    <x v="3"/>
    <s v="San Francisco"/>
    <n v="5.2026143790849675"/>
  </r>
  <r>
    <x v="218"/>
    <x v="3"/>
    <n v="127"/>
    <n v="7"/>
    <x v="2"/>
    <x v="5"/>
    <s v="COD"/>
    <x v="304"/>
    <s v="Brenda Murphy"/>
    <x v="3"/>
    <s v="San Francisco"/>
    <n v="6.9527559055118111"/>
  </r>
  <r>
    <x v="218"/>
    <x v="382"/>
    <n v="1155"/>
    <n v="8"/>
    <x v="2"/>
    <x v="11"/>
    <s v="Debit Card"/>
    <x v="304"/>
    <s v="Brenda Murphy"/>
    <x v="3"/>
    <s v="San Francisco"/>
    <n v="3.92987012987013"/>
  </r>
  <r>
    <x v="218"/>
    <x v="383"/>
    <n v="2226"/>
    <n v="16"/>
    <x v="1"/>
    <x v="9"/>
    <s v="Debit Card"/>
    <x v="304"/>
    <s v="Brenda Murphy"/>
    <x v="3"/>
    <s v="San Francisco"/>
    <n v="4.3391734052111408"/>
  </r>
  <r>
    <x v="219"/>
    <x v="384"/>
    <n v="325"/>
    <n v="2"/>
    <x v="0"/>
    <x v="1"/>
    <s v="Debit Card"/>
    <x v="305"/>
    <s v="Andrew Kirby"/>
    <x v="3"/>
    <s v="San Diego"/>
    <n v="29.421538461538461"/>
  </r>
  <r>
    <x v="220"/>
    <x v="385"/>
    <n v="1841"/>
    <n v="3"/>
    <x v="0"/>
    <x v="3"/>
    <s v="Credit Card"/>
    <x v="306"/>
    <s v="Justin Thomas"/>
    <x v="3"/>
    <s v="San Francisco"/>
    <n v="2.5464421510048885"/>
  </r>
  <r>
    <x v="220"/>
    <x v="385"/>
    <n v="1841"/>
    <n v="3"/>
    <x v="0"/>
    <x v="3"/>
    <s v="Credit Card"/>
    <x v="2"/>
    <s v="Jillian Johnson MD"/>
    <x v="3"/>
    <s v="San Diego"/>
    <n v="2.5464421510048885"/>
  </r>
  <r>
    <x v="221"/>
    <x v="386"/>
    <n v="482"/>
    <n v="4"/>
    <x v="0"/>
    <x v="10"/>
    <s v="COD"/>
    <x v="307"/>
    <s v="William Martin"/>
    <x v="5"/>
    <s v="Columbus"/>
    <n v="16.390041493775932"/>
  </r>
  <r>
    <x v="222"/>
    <x v="387"/>
    <n v="3257"/>
    <n v="17"/>
    <x v="2"/>
    <x v="11"/>
    <s v="COD"/>
    <x v="276"/>
    <s v="Mark Dixon"/>
    <x v="5"/>
    <s v="Cincinnati"/>
    <n v="2.1390850475898064"/>
  </r>
  <r>
    <x v="222"/>
    <x v="388"/>
    <n v="277"/>
    <n v="6"/>
    <x v="1"/>
    <x v="8"/>
    <s v="COD"/>
    <x v="276"/>
    <s v="Mark Dixon"/>
    <x v="5"/>
    <s v="Cincinnati"/>
    <n v="3.9386281588447654"/>
  </r>
  <r>
    <x v="222"/>
    <x v="389"/>
    <n v="1530"/>
    <n v="2"/>
    <x v="1"/>
    <x v="9"/>
    <s v="Credit Card"/>
    <x v="276"/>
    <s v="Mark Dixon"/>
    <x v="5"/>
    <s v="Cincinnati"/>
    <n v="3.93921568627451"/>
  </r>
  <r>
    <x v="223"/>
    <x v="390"/>
    <n v="218"/>
    <n v="2"/>
    <x v="2"/>
    <x v="4"/>
    <s v="EMI"/>
    <x v="308"/>
    <s v="Alicia Allen"/>
    <x v="4"/>
    <s v="Dallas"/>
    <n v="22.256880733944953"/>
  </r>
  <r>
    <x v="223"/>
    <x v="390"/>
    <n v="218"/>
    <n v="2"/>
    <x v="2"/>
    <x v="4"/>
    <s v="EMI"/>
    <x v="309"/>
    <s v="Cynthia Meyer"/>
    <x v="0"/>
    <s v="Tampa"/>
    <n v="22.256880733944953"/>
  </r>
  <r>
    <x v="223"/>
    <x v="390"/>
    <n v="218"/>
    <n v="2"/>
    <x v="2"/>
    <x v="4"/>
    <s v="EMI"/>
    <x v="310"/>
    <s v="Brandon Norton"/>
    <x v="1"/>
    <s v="Springfield"/>
    <n v="22.256880733944953"/>
  </r>
  <r>
    <x v="224"/>
    <x v="391"/>
    <n v="1453"/>
    <n v="6"/>
    <x v="2"/>
    <x v="7"/>
    <s v="COD"/>
    <x v="311"/>
    <s v="Christina Scott"/>
    <x v="0"/>
    <s v="Tampa"/>
    <n v="2.9690295939435649"/>
  </r>
  <r>
    <x v="225"/>
    <x v="392"/>
    <n v="1477"/>
    <n v="3"/>
    <x v="1"/>
    <x v="2"/>
    <s v="EMI"/>
    <x v="312"/>
    <s v="Andrew Macias"/>
    <x v="4"/>
    <s v="Austin"/>
    <n v="2.2261340555179419"/>
  </r>
  <r>
    <x v="225"/>
    <x v="392"/>
    <n v="1477"/>
    <n v="3"/>
    <x v="1"/>
    <x v="2"/>
    <s v="EMI"/>
    <x v="313"/>
    <s v="Alejandro Williams"/>
    <x v="1"/>
    <s v="Springfield"/>
    <n v="2.2261340555179419"/>
  </r>
  <r>
    <x v="226"/>
    <x v="393"/>
    <n v="813"/>
    <n v="5"/>
    <x v="1"/>
    <x v="9"/>
    <s v="Credit Card"/>
    <x v="314"/>
    <s v="Mark Rodriguez"/>
    <x v="2"/>
    <s v="New York City"/>
    <n v="4.8917589175891756"/>
  </r>
  <r>
    <x v="227"/>
    <x v="394"/>
    <n v="1377"/>
    <n v="2"/>
    <x v="0"/>
    <x v="1"/>
    <s v="EMI"/>
    <x v="315"/>
    <s v="Sarah Montgomery"/>
    <x v="1"/>
    <s v="Chicago"/>
    <n v="4.5403050108932463"/>
  </r>
  <r>
    <x v="228"/>
    <x v="395"/>
    <n v="3253"/>
    <n v="12"/>
    <x v="1"/>
    <x v="2"/>
    <s v="Debit Card"/>
    <x v="316"/>
    <s v="Marisa Prince"/>
    <x v="2"/>
    <s v="Buffalo"/>
    <n v="2.7924992314786352"/>
  </r>
  <r>
    <x v="229"/>
    <x v="396"/>
    <n v="1481"/>
    <n v="15"/>
    <x v="0"/>
    <x v="10"/>
    <s v="Credit Card"/>
    <x v="317"/>
    <s v="James Bonilla"/>
    <x v="3"/>
    <s v="San Diego"/>
    <n v="6.0729237002025656"/>
  </r>
  <r>
    <x v="230"/>
    <x v="397"/>
    <n v="176"/>
    <n v="16"/>
    <x v="1"/>
    <x v="6"/>
    <s v="EMI"/>
    <x v="318"/>
    <s v="Robin Myers"/>
    <x v="4"/>
    <s v="Dallas"/>
    <n v="6.1875"/>
  </r>
  <r>
    <x v="231"/>
    <x v="398"/>
    <n v="1001"/>
    <n v="19"/>
    <x v="1"/>
    <x v="9"/>
    <s v="UPI"/>
    <x v="319"/>
    <s v="Nancy Sanchez"/>
    <x v="1"/>
    <s v="Springfield"/>
    <n v="6.6833166833166837"/>
  </r>
  <r>
    <x v="231"/>
    <x v="398"/>
    <n v="1001"/>
    <n v="19"/>
    <x v="1"/>
    <x v="9"/>
    <s v="UPI"/>
    <x v="202"/>
    <s v="Sydney Walls"/>
    <x v="1"/>
    <s v="Chicago"/>
    <n v="6.6833166833166837"/>
  </r>
  <r>
    <x v="231"/>
    <x v="399"/>
    <n v="1920"/>
    <n v="10"/>
    <x v="2"/>
    <x v="11"/>
    <s v="Credit Card"/>
    <x v="319"/>
    <s v="Nancy Sanchez"/>
    <x v="1"/>
    <s v="Springfield"/>
    <n v="2.5963541666666665"/>
  </r>
  <r>
    <x v="231"/>
    <x v="399"/>
    <n v="1920"/>
    <n v="10"/>
    <x v="2"/>
    <x v="11"/>
    <s v="Credit Card"/>
    <x v="202"/>
    <s v="Sydney Walls"/>
    <x v="1"/>
    <s v="Chicago"/>
    <n v="2.5963541666666665"/>
  </r>
  <r>
    <x v="232"/>
    <x v="400"/>
    <n v="3565"/>
    <n v="15"/>
    <x v="0"/>
    <x v="0"/>
    <s v="EMI"/>
    <x v="320"/>
    <s v="Deborah Hoffman"/>
    <x v="0"/>
    <s v="Miami"/>
    <n v="2.4095371669004209"/>
  </r>
  <r>
    <x v="232"/>
    <x v="401"/>
    <n v="3038"/>
    <n v="10"/>
    <x v="2"/>
    <x v="4"/>
    <s v="COD"/>
    <x v="320"/>
    <s v="Deborah Hoffman"/>
    <x v="0"/>
    <s v="Miami"/>
    <n v="2.2952600394996709"/>
  </r>
  <r>
    <x v="233"/>
    <x v="402"/>
    <n v="1941"/>
    <n v="19"/>
    <x v="0"/>
    <x v="1"/>
    <s v="EMI"/>
    <x v="321"/>
    <s v="Megan Williams"/>
    <x v="4"/>
    <s v="Dallas"/>
    <n v="2.3652756311179806"/>
  </r>
  <r>
    <x v="233"/>
    <x v="403"/>
    <n v="2572"/>
    <n v="17"/>
    <x v="1"/>
    <x v="2"/>
    <s v="Credit Card"/>
    <x v="321"/>
    <s v="Megan Williams"/>
    <x v="4"/>
    <s v="Dallas"/>
    <n v="3.7371695178849142"/>
  </r>
  <r>
    <x v="234"/>
    <x v="404"/>
    <n v="655"/>
    <n v="1"/>
    <x v="2"/>
    <x v="5"/>
    <s v="EMI"/>
    <x v="322"/>
    <s v="Shane Clark"/>
    <x v="3"/>
    <s v="San Diego"/>
    <n v="8.1572519083969457"/>
  </r>
  <r>
    <x v="235"/>
    <x v="405"/>
    <n v="318"/>
    <n v="20"/>
    <x v="1"/>
    <x v="6"/>
    <s v="Debit Card"/>
    <x v="55"/>
    <s v="Steven Haynes"/>
    <x v="1"/>
    <s v="Springfield"/>
    <n v="21.874213836477988"/>
  </r>
  <r>
    <x v="236"/>
    <x v="406"/>
    <n v="2405"/>
    <n v="17"/>
    <x v="2"/>
    <x v="4"/>
    <s v="EMI"/>
    <x v="323"/>
    <s v="Kimberly Fuller"/>
    <x v="2"/>
    <s v="Buffalo"/>
    <n v="2.2062370062370062"/>
  </r>
  <r>
    <x v="237"/>
    <x v="407"/>
    <n v="448"/>
    <n v="17"/>
    <x v="2"/>
    <x v="7"/>
    <s v="UPI"/>
    <x v="324"/>
    <s v="Angela Lyons"/>
    <x v="2"/>
    <s v="New York City"/>
    <n v="20.049107142857142"/>
  </r>
  <r>
    <x v="237"/>
    <x v="408"/>
    <n v="562"/>
    <n v="5"/>
    <x v="1"/>
    <x v="8"/>
    <s v="Debit Card"/>
    <x v="324"/>
    <s v="Angela Lyons"/>
    <x v="2"/>
    <s v="New York City"/>
    <n v="8.587188612099645"/>
  </r>
  <r>
    <x v="238"/>
    <x v="409"/>
    <n v="106"/>
    <n v="15"/>
    <x v="1"/>
    <x v="2"/>
    <s v="EMI"/>
    <x v="112"/>
    <s v="Betty Tucker"/>
    <x v="5"/>
    <s v="Cincinnati"/>
    <n v="9.1698113207547163"/>
  </r>
  <r>
    <x v="239"/>
    <x v="410"/>
    <n v="802"/>
    <n v="4"/>
    <x v="1"/>
    <x v="6"/>
    <s v="Credit Card"/>
    <x v="325"/>
    <s v="Brianna Hunt"/>
    <x v="0"/>
    <s v="Miami"/>
    <n v="4.5698254364089772"/>
  </r>
  <r>
    <x v="239"/>
    <x v="410"/>
    <n v="802"/>
    <n v="4"/>
    <x v="1"/>
    <x v="6"/>
    <s v="Credit Card"/>
    <x v="326"/>
    <s v="Cathy Clark"/>
    <x v="0"/>
    <s v="Tampa"/>
    <n v="4.5698254364089772"/>
  </r>
  <r>
    <x v="240"/>
    <x v="411"/>
    <n v="2117"/>
    <n v="2"/>
    <x v="1"/>
    <x v="2"/>
    <s v="UPI"/>
    <x v="327"/>
    <s v="Nicole Warren"/>
    <x v="3"/>
    <s v="Los Angeles"/>
    <n v="4.6329711856400566"/>
  </r>
  <r>
    <x v="241"/>
    <x v="412"/>
    <n v="73"/>
    <n v="17"/>
    <x v="2"/>
    <x v="5"/>
    <s v="UPI"/>
    <x v="328"/>
    <s v="Richard Castaneda"/>
    <x v="5"/>
    <s v="Cleveland"/>
    <n v="15.520547945205479"/>
  </r>
  <r>
    <x v="241"/>
    <x v="412"/>
    <n v="73"/>
    <n v="17"/>
    <x v="2"/>
    <x v="5"/>
    <s v="UPI"/>
    <x v="329"/>
    <s v="Sarah Torres"/>
    <x v="3"/>
    <s v="San Diego"/>
    <n v="15.520547945205479"/>
  </r>
  <r>
    <x v="241"/>
    <x v="413"/>
    <n v="1168"/>
    <n v="19"/>
    <x v="2"/>
    <x v="11"/>
    <s v="COD"/>
    <x v="328"/>
    <s v="Richard Castaneda"/>
    <x v="5"/>
    <s v="Cleveland"/>
    <n v="5.3493150684931505"/>
  </r>
  <r>
    <x v="241"/>
    <x v="413"/>
    <n v="1168"/>
    <n v="19"/>
    <x v="2"/>
    <x v="11"/>
    <s v="COD"/>
    <x v="329"/>
    <s v="Sarah Torres"/>
    <x v="3"/>
    <s v="San Diego"/>
    <n v="5.3493150684931505"/>
  </r>
  <r>
    <x v="242"/>
    <x v="414"/>
    <n v="2733"/>
    <n v="17"/>
    <x v="0"/>
    <x v="0"/>
    <s v="Credit Card"/>
    <x v="330"/>
    <s v="Vanessa Deleon"/>
    <x v="0"/>
    <s v="Tampa"/>
    <n v="2.0731796560556166"/>
  </r>
  <r>
    <x v="243"/>
    <x v="415"/>
    <n v="1450"/>
    <n v="18"/>
    <x v="1"/>
    <x v="6"/>
    <s v="COD"/>
    <x v="331"/>
    <s v="Richard Lyons"/>
    <x v="4"/>
    <s v="Dallas"/>
    <n v="2.876551724137931"/>
  </r>
  <r>
    <x v="244"/>
    <x v="416"/>
    <n v="2839"/>
    <n v="7"/>
    <x v="0"/>
    <x v="1"/>
    <s v="Credit Card"/>
    <x v="332"/>
    <s v="Eric Adams"/>
    <x v="1"/>
    <s v="Springfield"/>
    <n v="2.1965480803099684"/>
  </r>
  <r>
    <x v="244"/>
    <x v="416"/>
    <n v="2839"/>
    <n v="7"/>
    <x v="0"/>
    <x v="1"/>
    <s v="Credit Card"/>
    <x v="333"/>
    <s v="Chad Brown"/>
    <x v="0"/>
    <s v="Orlando"/>
    <n v="2.1965480803099684"/>
  </r>
  <r>
    <x v="245"/>
    <x v="417"/>
    <n v="2456"/>
    <n v="8"/>
    <x v="2"/>
    <x v="5"/>
    <s v="Credit Card"/>
    <x v="334"/>
    <s v="Kayla Becker"/>
    <x v="3"/>
    <s v="Los Angeles"/>
    <n v="2.202768729641694"/>
  </r>
  <r>
    <x v="245"/>
    <x v="417"/>
    <n v="2456"/>
    <n v="8"/>
    <x v="2"/>
    <x v="5"/>
    <s v="Credit Card"/>
    <x v="335"/>
    <s v="Ashley Freeman"/>
    <x v="0"/>
    <s v="Tampa"/>
    <n v="2.202768729641694"/>
  </r>
  <r>
    <x v="246"/>
    <x v="418"/>
    <n v="1353"/>
    <n v="1"/>
    <x v="2"/>
    <x v="7"/>
    <s v="Credit Card"/>
    <x v="336"/>
    <s v="Scott Harris"/>
    <x v="3"/>
    <s v="Los Angeles"/>
    <n v="2.2350332594235032"/>
  </r>
  <r>
    <x v="246"/>
    <x v="418"/>
    <n v="1353"/>
    <n v="1"/>
    <x v="2"/>
    <x v="7"/>
    <s v="Credit Card"/>
    <x v="337"/>
    <s v="John James"/>
    <x v="5"/>
    <s v="Columbus"/>
    <n v="2.2350332594235032"/>
  </r>
  <r>
    <x v="247"/>
    <x v="419"/>
    <n v="2851"/>
    <n v="5"/>
    <x v="1"/>
    <x v="6"/>
    <s v="UPI"/>
    <x v="116"/>
    <s v="Jesse Bond"/>
    <x v="1"/>
    <s v="Springfield"/>
    <n v="2.6075061381971238"/>
  </r>
  <r>
    <x v="248"/>
    <x v="420"/>
    <n v="508"/>
    <n v="19"/>
    <x v="0"/>
    <x v="0"/>
    <s v="Debit Card"/>
    <x v="338"/>
    <s v="Brandon Hughes"/>
    <x v="4"/>
    <s v="Dallas"/>
    <n v="14.198818897637794"/>
  </r>
  <r>
    <x v="248"/>
    <x v="420"/>
    <n v="508"/>
    <n v="19"/>
    <x v="0"/>
    <x v="0"/>
    <s v="Debit Card"/>
    <x v="339"/>
    <s v="Lynn Reynolds"/>
    <x v="5"/>
    <s v="Cincinnati"/>
    <n v="14.198818897637794"/>
  </r>
  <r>
    <x v="248"/>
    <x v="421"/>
    <n v="586"/>
    <n v="9"/>
    <x v="2"/>
    <x v="4"/>
    <s v="EMI"/>
    <x v="338"/>
    <s v="Brandon Hughes"/>
    <x v="4"/>
    <s v="Dallas"/>
    <n v="5.4197952218430032"/>
  </r>
  <r>
    <x v="248"/>
    <x v="421"/>
    <n v="586"/>
    <n v="9"/>
    <x v="2"/>
    <x v="4"/>
    <s v="EMI"/>
    <x v="339"/>
    <s v="Lynn Reynolds"/>
    <x v="5"/>
    <s v="Cincinnati"/>
    <n v="5.4197952218430032"/>
  </r>
  <r>
    <x v="249"/>
    <x v="422"/>
    <n v="2220"/>
    <n v="18"/>
    <x v="1"/>
    <x v="9"/>
    <s v="Credit Card"/>
    <x v="340"/>
    <s v="Ronald Good"/>
    <x v="0"/>
    <s v="Miami"/>
    <n v="4.1189189189189186"/>
  </r>
  <r>
    <x v="250"/>
    <x v="423"/>
    <n v="865"/>
    <n v="19"/>
    <x v="2"/>
    <x v="4"/>
    <s v="EMI"/>
    <x v="341"/>
    <s v="Kyle Baker"/>
    <x v="4"/>
    <s v="Houston"/>
    <n v="4.7930635838150293"/>
  </r>
  <r>
    <x v="250"/>
    <x v="424"/>
    <n v="875"/>
    <n v="7"/>
    <x v="2"/>
    <x v="4"/>
    <s v="EMI"/>
    <x v="341"/>
    <s v="Kyle Baker"/>
    <x v="4"/>
    <s v="Houston"/>
    <n v="4.3348571428571425"/>
  </r>
  <r>
    <x v="251"/>
    <x v="425"/>
    <n v="2385"/>
    <n v="11"/>
    <x v="2"/>
    <x v="7"/>
    <s v="COD"/>
    <x v="342"/>
    <s v="Michael Rivera"/>
    <x v="3"/>
    <s v="Los Angeles"/>
    <n v="3.0058700209643607"/>
  </r>
  <r>
    <x v="251"/>
    <x v="426"/>
    <n v="417"/>
    <n v="18"/>
    <x v="2"/>
    <x v="5"/>
    <s v="Credit Card"/>
    <x v="342"/>
    <s v="Michael Rivera"/>
    <x v="3"/>
    <s v="Los Angeles"/>
    <n v="9.7026378896882495"/>
  </r>
  <r>
    <x v="252"/>
    <x v="427"/>
    <n v="905"/>
    <n v="11"/>
    <x v="0"/>
    <x v="10"/>
    <s v="COD"/>
    <x v="343"/>
    <s v="Lori Adkins"/>
    <x v="3"/>
    <s v="San Diego"/>
    <n v="4.6011049723756905"/>
  </r>
  <r>
    <x v="252"/>
    <x v="428"/>
    <n v="2196"/>
    <n v="5"/>
    <x v="2"/>
    <x v="4"/>
    <s v="UPI"/>
    <x v="343"/>
    <s v="Lori Adkins"/>
    <x v="3"/>
    <s v="San Diego"/>
    <n v="2.454007285974499"/>
  </r>
  <r>
    <x v="253"/>
    <x v="429"/>
    <n v="2204"/>
    <n v="5"/>
    <x v="2"/>
    <x v="7"/>
    <s v="COD"/>
    <x v="344"/>
    <s v="Luis Warner"/>
    <x v="2"/>
    <s v="New York City"/>
    <n v="2.4718693284936477"/>
  </r>
  <r>
    <x v="254"/>
    <x v="430"/>
    <n v="1285"/>
    <n v="1"/>
    <x v="2"/>
    <x v="7"/>
    <s v="UPI"/>
    <x v="156"/>
    <s v="Donald Perry"/>
    <x v="0"/>
    <s v="Orlando"/>
    <n v="3.2023346303501947"/>
  </r>
  <r>
    <x v="254"/>
    <x v="431"/>
    <n v="2231"/>
    <n v="12"/>
    <x v="2"/>
    <x v="4"/>
    <s v="UPI"/>
    <x v="156"/>
    <s v="Donald Perry"/>
    <x v="0"/>
    <s v="Orlando"/>
    <n v="2.134020618556701"/>
  </r>
  <r>
    <x v="255"/>
    <x v="432"/>
    <n v="2264"/>
    <n v="6"/>
    <x v="1"/>
    <x v="9"/>
    <s v="EMI"/>
    <x v="345"/>
    <s v="Adam Stevens"/>
    <x v="2"/>
    <s v="Buffalo"/>
    <n v="2.6055653710247348"/>
  </r>
  <r>
    <x v="256"/>
    <x v="433"/>
    <n v="3040"/>
    <n v="9"/>
    <x v="2"/>
    <x v="5"/>
    <s v="EMI"/>
    <x v="346"/>
    <s v="Kimberly Johnson"/>
    <x v="2"/>
    <s v="Buffalo"/>
    <n v="2.0095394736842107"/>
  </r>
  <r>
    <x v="256"/>
    <x v="433"/>
    <n v="3040"/>
    <n v="9"/>
    <x v="2"/>
    <x v="5"/>
    <s v="EMI"/>
    <x v="347"/>
    <s v="Kelly Jones"/>
    <x v="2"/>
    <s v="Rochester"/>
    <n v="2.0095394736842107"/>
  </r>
  <r>
    <x v="256"/>
    <x v="434"/>
    <n v="1491"/>
    <n v="17"/>
    <x v="0"/>
    <x v="0"/>
    <s v="UPI"/>
    <x v="346"/>
    <s v="Kimberly Johnson"/>
    <x v="2"/>
    <s v="Buffalo"/>
    <n v="3.1039570757880619"/>
  </r>
  <r>
    <x v="256"/>
    <x v="434"/>
    <n v="1491"/>
    <n v="17"/>
    <x v="0"/>
    <x v="0"/>
    <s v="UPI"/>
    <x v="347"/>
    <s v="Kelly Jones"/>
    <x v="2"/>
    <s v="Rochester"/>
    <n v="3.1039570757880619"/>
  </r>
  <r>
    <x v="257"/>
    <x v="435"/>
    <n v="584"/>
    <n v="13"/>
    <x v="1"/>
    <x v="2"/>
    <s v="Credit Card"/>
    <x v="129"/>
    <s v="Ashley Petty"/>
    <x v="1"/>
    <s v="Peoria"/>
    <n v="7.4811643835616435"/>
  </r>
  <r>
    <x v="257"/>
    <x v="435"/>
    <n v="584"/>
    <n v="13"/>
    <x v="1"/>
    <x v="2"/>
    <s v="Credit Card"/>
    <x v="348"/>
    <s v="Crystal Ross"/>
    <x v="4"/>
    <s v="Austin"/>
    <n v="7.4811643835616435"/>
  </r>
  <r>
    <x v="258"/>
    <x v="436"/>
    <n v="2358"/>
    <n v="20"/>
    <x v="2"/>
    <x v="7"/>
    <s v="Credit Card"/>
    <x v="349"/>
    <s v="Alexis Duffy"/>
    <x v="3"/>
    <s v="Los Angeles"/>
    <n v="2.3884648006785412"/>
  </r>
  <r>
    <x v="258"/>
    <x v="436"/>
    <n v="2358"/>
    <n v="20"/>
    <x v="2"/>
    <x v="7"/>
    <s v="Credit Card"/>
    <x v="350"/>
    <s v="Stephanie Sanchez"/>
    <x v="0"/>
    <s v="Miami"/>
    <n v="2.3884648006785412"/>
  </r>
  <r>
    <x v="258"/>
    <x v="436"/>
    <n v="2358"/>
    <n v="20"/>
    <x v="2"/>
    <x v="7"/>
    <s v="Credit Card"/>
    <x v="351"/>
    <s v="Reginald Espinoza"/>
    <x v="5"/>
    <s v="Cleveland"/>
    <n v="2.3884648006785412"/>
  </r>
  <r>
    <x v="259"/>
    <x v="437"/>
    <n v="402"/>
    <n v="14"/>
    <x v="1"/>
    <x v="8"/>
    <s v="UPI"/>
    <x v="352"/>
    <s v="Sandra Hicks"/>
    <x v="3"/>
    <s v="San Diego"/>
    <n v="18.703980099502488"/>
  </r>
  <r>
    <x v="259"/>
    <x v="438"/>
    <n v="674"/>
    <n v="13"/>
    <x v="0"/>
    <x v="0"/>
    <s v="Debit Card"/>
    <x v="352"/>
    <s v="Sandra Hicks"/>
    <x v="3"/>
    <s v="San Diego"/>
    <n v="2.3204747774480712"/>
  </r>
  <r>
    <x v="260"/>
    <x v="439"/>
    <n v="936"/>
    <n v="10"/>
    <x v="0"/>
    <x v="0"/>
    <s v="Credit Card"/>
    <x v="353"/>
    <s v="Olivia Orozco"/>
    <x v="4"/>
    <s v="Austin"/>
    <n v="2.9957264957264957"/>
  </r>
  <r>
    <x v="260"/>
    <x v="439"/>
    <n v="936"/>
    <n v="10"/>
    <x v="0"/>
    <x v="0"/>
    <s v="Credit Card"/>
    <x v="354"/>
    <s v="Larry Moore"/>
    <x v="0"/>
    <s v="Tampa"/>
    <n v="2.9957264957264957"/>
  </r>
  <r>
    <x v="260"/>
    <x v="439"/>
    <n v="936"/>
    <n v="10"/>
    <x v="0"/>
    <x v="0"/>
    <s v="Credit Card"/>
    <x v="355"/>
    <s v="Mrs. Rachel Cannon DDS"/>
    <x v="0"/>
    <s v="Tampa"/>
    <n v="2.9957264957264957"/>
  </r>
  <r>
    <x v="261"/>
    <x v="440"/>
    <n v="505"/>
    <n v="6"/>
    <x v="2"/>
    <x v="5"/>
    <s v="EMI"/>
    <x v="356"/>
    <s v="Daniel Flowers"/>
    <x v="1"/>
    <s v="Springfield"/>
    <n v="4.5960396039603957"/>
  </r>
  <r>
    <x v="262"/>
    <x v="441"/>
    <n v="482"/>
    <n v="6"/>
    <x v="0"/>
    <x v="3"/>
    <s v="COD"/>
    <x v="357"/>
    <s v="Randy Acosta"/>
    <x v="0"/>
    <s v="Tampa"/>
    <n v="11.887966804979254"/>
  </r>
  <r>
    <x v="263"/>
    <x v="442"/>
    <n v="867"/>
    <n v="12"/>
    <x v="2"/>
    <x v="7"/>
    <s v="COD"/>
    <x v="179"/>
    <s v="Deborah Williams"/>
    <x v="1"/>
    <s v="Chicago"/>
    <n v="8.58246828143022"/>
  </r>
  <r>
    <x v="263"/>
    <x v="442"/>
    <n v="867"/>
    <n v="12"/>
    <x v="2"/>
    <x v="7"/>
    <s v="COD"/>
    <x v="358"/>
    <s v="Robert Michael"/>
    <x v="4"/>
    <s v="Austin"/>
    <n v="8.58246828143022"/>
  </r>
  <r>
    <x v="264"/>
    <x v="443"/>
    <n v="766"/>
    <n v="7"/>
    <x v="1"/>
    <x v="9"/>
    <s v="UPI"/>
    <x v="78"/>
    <s v="Danny Ramirez"/>
    <x v="2"/>
    <s v="New York City"/>
    <n v="2.2610966057441253"/>
  </r>
  <r>
    <x v="264"/>
    <x v="444"/>
    <n v="3944"/>
    <n v="19"/>
    <x v="1"/>
    <x v="8"/>
    <s v="EMI"/>
    <x v="78"/>
    <s v="Danny Ramirez"/>
    <x v="2"/>
    <s v="New York City"/>
    <n v="2.2281947261663286"/>
  </r>
  <r>
    <x v="265"/>
    <x v="445"/>
    <n v="271"/>
    <n v="11"/>
    <x v="1"/>
    <x v="6"/>
    <s v="EMI"/>
    <x v="359"/>
    <s v="Stephen Baker"/>
    <x v="5"/>
    <s v="Columbus"/>
    <n v="3.092250922509225"/>
  </r>
  <r>
    <x v="265"/>
    <x v="445"/>
    <n v="271"/>
    <n v="11"/>
    <x v="1"/>
    <x v="6"/>
    <s v="EMI"/>
    <x v="360"/>
    <s v="Jeffrey Wilcox"/>
    <x v="1"/>
    <s v="Peoria"/>
    <n v="3.092250922509225"/>
  </r>
  <r>
    <x v="265"/>
    <x v="446"/>
    <n v="699"/>
    <n v="2"/>
    <x v="2"/>
    <x v="4"/>
    <s v="UPI"/>
    <x v="359"/>
    <s v="Stephen Baker"/>
    <x v="5"/>
    <s v="Columbus"/>
    <n v="5.1173104434907009"/>
  </r>
  <r>
    <x v="265"/>
    <x v="446"/>
    <n v="699"/>
    <n v="2"/>
    <x v="2"/>
    <x v="4"/>
    <s v="UPI"/>
    <x v="360"/>
    <s v="Jeffrey Wilcox"/>
    <x v="1"/>
    <s v="Peoria"/>
    <n v="5.1173104434907009"/>
  </r>
  <r>
    <x v="266"/>
    <x v="447"/>
    <n v="1836"/>
    <n v="6"/>
    <x v="0"/>
    <x v="10"/>
    <s v="Debit Card"/>
    <x v="361"/>
    <s v="James Clarke"/>
    <x v="4"/>
    <s v="Dallas"/>
    <n v="3.8790849673202614"/>
  </r>
  <r>
    <x v="266"/>
    <x v="447"/>
    <n v="1836"/>
    <n v="6"/>
    <x v="0"/>
    <x v="10"/>
    <s v="Debit Card"/>
    <x v="362"/>
    <s v="Julia Gallagher"/>
    <x v="4"/>
    <s v="Houston"/>
    <n v="3.8790849673202614"/>
  </r>
  <r>
    <x v="266"/>
    <x v="447"/>
    <n v="1836"/>
    <n v="6"/>
    <x v="0"/>
    <x v="10"/>
    <s v="Debit Card"/>
    <x v="363"/>
    <s v="Ronald Frey Jr."/>
    <x v="2"/>
    <s v="New York City"/>
    <n v="3.8790849673202614"/>
  </r>
  <r>
    <x v="266"/>
    <x v="448"/>
    <n v="2596"/>
    <n v="15"/>
    <x v="1"/>
    <x v="6"/>
    <s v="Credit Card"/>
    <x v="361"/>
    <s v="James Clarke"/>
    <x v="4"/>
    <s v="Dallas"/>
    <n v="2.8224191063174113"/>
  </r>
  <r>
    <x v="266"/>
    <x v="448"/>
    <n v="2596"/>
    <n v="15"/>
    <x v="1"/>
    <x v="6"/>
    <s v="Credit Card"/>
    <x v="362"/>
    <s v="Julia Gallagher"/>
    <x v="4"/>
    <s v="Houston"/>
    <n v="2.8224191063174113"/>
  </r>
  <r>
    <x v="266"/>
    <x v="448"/>
    <n v="2596"/>
    <n v="15"/>
    <x v="1"/>
    <x v="6"/>
    <s v="Credit Card"/>
    <x v="363"/>
    <s v="Ronald Frey Jr."/>
    <x v="2"/>
    <s v="New York City"/>
    <n v="2.8224191063174113"/>
  </r>
  <r>
    <x v="267"/>
    <x v="366"/>
    <n v="1094"/>
    <n v="18"/>
    <x v="0"/>
    <x v="1"/>
    <s v="COD"/>
    <x v="364"/>
    <s v="Megan Charles"/>
    <x v="0"/>
    <s v="Tampa"/>
    <n v="2.0466179159049358"/>
  </r>
  <r>
    <x v="267"/>
    <x v="449"/>
    <n v="1153"/>
    <n v="1"/>
    <x v="1"/>
    <x v="6"/>
    <s v="COD"/>
    <x v="364"/>
    <s v="Megan Charles"/>
    <x v="0"/>
    <s v="Tampa"/>
    <n v="4.2775368603642674"/>
  </r>
  <r>
    <x v="268"/>
    <x v="450"/>
    <n v="1084"/>
    <n v="8"/>
    <x v="0"/>
    <x v="1"/>
    <s v="UPI"/>
    <x v="365"/>
    <s v="Amy Duran MD"/>
    <x v="0"/>
    <s v="Orlando"/>
    <n v="4.2518450184501848"/>
  </r>
  <r>
    <x v="268"/>
    <x v="451"/>
    <n v="788"/>
    <n v="4"/>
    <x v="1"/>
    <x v="8"/>
    <s v="UPI"/>
    <x v="365"/>
    <s v="Amy Duran MD"/>
    <x v="0"/>
    <s v="Orlando"/>
    <n v="2.9543147208121829"/>
  </r>
  <r>
    <x v="268"/>
    <x v="52"/>
    <n v="958"/>
    <n v="7"/>
    <x v="0"/>
    <x v="1"/>
    <s v="Debit Card"/>
    <x v="365"/>
    <s v="Amy Duran MD"/>
    <x v="0"/>
    <s v="Orlando"/>
    <n v="4.9415448851774526"/>
  </r>
  <r>
    <x v="269"/>
    <x v="452"/>
    <n v="345"/>
    <n v="5"/>
    <x v="2"/>
    <x v="7"/>
    <s v="UPI"/>
    <x v="366"/>
    <s v="Christopher Thomas"/>
    <x v="2"/>
    <s v="New York City"/>
    <n v="4.023188405797101"/>
  </r>
  <r>
    <x v="269"/>
    <x v="453"/>
    <n v="1638"/>
    <n v="8"/>
    <x v="0"/>
    <x v="3"/>
    <s v="Credit Card"/>
    <x v="366"/>
    <s v="Christopher Thomas"/>
    <x v="2"/>
    <s v="New York City"/>
    <n v="5.2228327228327229"/>
  </r>
  <r>
    <x v="270"/>
    <x v="454"/>
    <n v="730"/>
    <n v="4"/>
    <x v="2"/>
    <x v="4"/>
    <s v="Credit Card"/>
    <x v="367"/>
    <s v="Peter Castro"/>
    <x v="4"/>
    <s v="Dallas"/>
    <n v="12.361643835616439"/>
  </r>
  <r>
    <x v="270"/>
    <x v="455"/>
    <n v="418"/>
    <n v="4"/>
    <x v="0"/>
    <x v="3"/>
    <s v="Credit Card"/>
    <x v="367"/>
    <s v="Peter Castro"/>
    <x v="4"/>
    <s v="Dallas"/>
    <n v="5.9043062200956937"/>
  </r>
  <r>
    <x v="271"/>
    <x v="456"/>
    <n v="1801"/>
    <n v="4"/>
    <x v="0"/>
    <x v="0"/>
    <s v="COD"/>
    <x v="368"/>
    <s v="Steven Acosta"/>
    <x v="0"/>
    <s v="Orlando"/>
    <n v="5.2404219877845639"/>
  </r>
  <r>
    <x v="271"/>
    <x v="456"/>
    <n v="1801"/>
    <n v="4"/>
    <x v="0"/>
    <x v="0"/>
    <s v="COD"/>
    <x v="369"/>
    <s v="Lindsay Jackson"/>
    <x v="4"/>
    <s v="Austin"/>
    <n v="5.2404219877845639"/>
  </r>
  <r>
    <x v="272"/>
    <x v="457"/>
    <n v="379"/>
    <n v="18"/>
    <x v="0"/>
    <x v="10"/>
    <s v="UPI"/>
    <x v="370"/>
    <s v="Kelly Smith"/>
    <x v="5"/>
    <s v="Cleveland"/>
    <n v="7.0844327176781006"/>
  </r>
  <r>
    <x v="272"/>
    <x v="457"/>
    <n v="379"/>
    <n v="18"/>
    <x v="0"/>
    <x v="10"/>
    <s v="UPI"/>
    <x v="174"/>
    <s v="Sabrina Hartman"/>
    <x v="0"/>
    <s v="Tampa"/>
    <n v="7.0844327176781006"/>
  </r>
  <r>
    <x v="272"/>
    <x v="458"/>
    <n v="4602"/>
    <n v="14"/>
    <x v="2"/>
    <x v="5"/>
    <s v="UPI"/>
    <x v="370"/>
    <s v="Kelly Smith"/>
    <x v="5"/>
    <s v="Cleveland"/>
    <n v="2.1547153411560189"/>
  </r>
  <r>
    <x v="272"/>
    <x v="458"/>
    <n v="4602"/>
    <n v="14"/>
    <x v="2"/>
    <x v="5"/>
    <s v="UPI"/>
    <x v="174"/>
    <s v="Sabrina Hartman"/>
    <x v="0"/>
    <s v="Tampa"/>
    <n v="2.1547153411560189"/>
  </r>
  <r>
    <x v="272"/>
    <x v="459"/>
    <n v="50"/>
    <n v="14"/>
    <x v="0"/>
    <x v="0"/>
    <s v="Credit Card"/>
    <x v="370"/>
    <s v="Kelly Smith"/>
    <x v="5"/>
    <s v="Cleveland"/>
    <n v="123.68"/>
  </r>
  <r>
    <x v="272"/>
    <x v="459"/>
    <n v="50"/>
    <n v="14"/>
    <x v="0"/>
    <x v="0"/>
    <s v="Credit Card"/>
    <x v="174"/>
    <s v="Sabrina Hartman"/>
    <x v="0"/>
    <s v="Tampa"/>
    <n v="123.68"/>
  </r>
  <r>
    <x v="272"/>
    <x v="460"/>
    <n v="2135"/>
    <n v="8"/>
    <x v="1"/>
    <x v="6"/>
    <s v="Debit Card"/>
    <x v="370"/>
    <s v="Kelly Smith"/>
    <x v="5"/>
    <s v="Cleveland"/>
    <n v="2.1302107728337236"/>
  </r>
  <r>
    <x v="272"/>
    <x v="460"/>
    <n v="2135"/>
    <n v="8"/>
    <x v="1"/>
    <x v="6"/>
    <s v="Debit Card"/>
    <x v="174"/>
    <s v="Sabrina Hartman"/>
    <x v="0"/>
    <s v="Tampa"/>
    <n v="2.1302107728337236"/>
  </r>
  <r>
    <x v="273"/>
    <x v="461"/>
    <n v="1665"/>
    <n v="7"/>
    <x v="1"/>
    <x v="6"/>
    <s v="COD"/>
    <x v="371"/>
    <s v="Cynthia Smith"/>
    <x v="2"/>
    <s v="Rochester"/>
    <n v="4.3213213213213217"/>
  </r>
  <r>
    <x v="273"/>
    <x v="461"/>
    <n v="1665"/>
    <n v="7"/>
    <x v="1"/>
    <x v="6"/>
    <s v="COD"/>
    <x v="372"/>
    <s v="Olivia Dickerson"/>
    <x v="2"/>
    <s v="Buffalo"/>
    <n v="4.3213213213213217"/>
  </r>
  <r>
    <x v="274"/>
    <x v="462"/>
    <n v="957"/>
    <n v="18"/>
    <x v="2"/>
    <x v="11"/>
    <s v="COD"/>
    <x v="373"/>
    <s v="Whitney Stout"/>
    <x v="4"/>
    <s v="Austin"/>
    <n v="3.2371995820271682"/>
  </r>
  <r>
    <x v="275"/>
    <x v="463"/>
    <n v="1192"/>
    <n v="18"/>
    <x v="2"/>
    <x v="4"/>
    <s v="Credit Card"/>
    <x v="374"/>
    <s v="Stephanie Flores"/>
    <x v="3"/>
    <s v="San Diego"/>
    <n v="4.5402684563758386"/>
  </r>
  <r>
    <x v="275"/>
    <x v="463"/>
    <n v="1192"/>
    <n v="18"/>
    <x v="2"/>
    <x v="4"/>
    <s v="Credit Card"/>
    <x v="375"/>
    <s v="Gregory English"/>
    <x v="3"/>
    <s v="Los Angeles"/>
    <n v="4.5402684563758386"/>
  </r>
  <r>
    <x v="276"/>
    <x v="464"/>
    <n v="686"/>
    <n v="11"/>
    <x v="2"/>
    <x v="5"/>
    <s v="Credit Card"/>
    <x v="376"/>
    <s v="Natalie Maxwell"/>
    <x v="2"/>
    <s v="New York City"/>
    <n v="2.0364431486880465"/>
  </r>
  <r>
    <x v="277"/>
    <x v="465"/>
    <n v="552"/>
    <n v="14"/>
    <x v="2"/>
    <x v="5"/>
    <s v="EMI"/>
    <x v="377"/>
    <s v="Tina Blake"/>
    <x v="2"/>
    <s v="Buffalo"/>
    <n v="16.809782608695652"/>
  </r>
  <r>
    <x v="277"/>
    <x v="465"/>
    <n v="552"/>
    <n v="14"/>
    <x v="2"/>
    <x v="5"/>
    <s v="EMI"/>
    <x v="378"/>
    <s v="Clarence Cooke"/>
    <x v="3"/>
    <s v="San Francisco"/>
    <n v="16.809782608695652"/>
  </r>
  <r>
    <x v="277"/>
    <x v="466"/>
    <n v="1003"/>
    <n v="19"/>
    <x v="1"/>
    <x v="8"/>
    <s v="Credit Card"/>
    <x v="377"/>
    <s v="Tina Blake"/>
    <x v="2"/>
    <s v="Buffalo"/>
    <n v="2.5882352941176472"/>
  </r>
  <r>
    <x v="277"/>
    <x v="466"/>
    <n v="1003"/>
    <n v="19"/>
    <x v="1"/>
    <x v="8"/>
    <s v="Credit Card"/>
    <x v="378"/>
    <s v="Clarence Cooke"/>
    <x v="3"/>
    <s v="San Francisco"/>
    <n v="2.5882352941176472"/>
  </r>
  <r>
    <x v="278"/>
    <x v="467"/>
    <n v="911"/>
    <n v="19"/>
    <x v="2"/>
    <x v="11"/>
    <s v="EMI"/>
    <x v="379"/>
    <s v="Tamara Guzman"/>
    <x v="2"/>
    <s v="Buffalo"/>
    <n v="7.3896816684961584"/>
  </r>
  <r>
    <x v="278"/>
    <x v="468"/>
    <n v="1408"/>
    <n v="14"/>
    <x v="1"/>
    <x v="2"/>
    <s v="EMI"/>
    <x v="379"/>
    <s v="Tamara Guzman"/>
    <x v="2"/>
    <s v="Buffalo"/>
    <n v="3.1924715909090908"/>
  </r>
  <r>
    <x v="279"/>
    <x v="469"/>
    <n v="2471"/>
    <n v="6"/>
    <x v="1"/>
    <x v="8"/>
    <s v="UPI"/>
    <x v="380"/>
    <s v="Marissa Hartman"/>
    <x v="2"/>
    <s v="Buffalo"/>
    <n v="3.9065155807365439"/>
  </r>
  <r>
    <x v="280"/>
    <x v="470"/>
    <n v="1728"/>
    <n v="10"/>
    <x v="2"/>
    <x v="4"/>
    <s v="UPI"/>
    <x v="381"/>
    <s v="Sara Garcia"/>
    <x v="1"/>
    <s v="Peoria"/>
    <n v="5.1765046296296298"/>
  </r>
  <r>
    <x v="281"/>
    <x v="471"/>
    <n v="201"/>
    <n v="13"/>
    <x v="2"/>
    <x v="11"/>
    <s v="COD"/>
    <x v="299"/>
    <s v="Kathryn Rogers"/>
    <x v="5"/>
    <s v="Columbus"/>
    <n v="19.935323383084576"/>
  </r>
  <r>
    <x v="281"/>
    <x v="471"/>
    <n v="201"/>
    <n v="13"/>
    <x v="2"/>
    <x v="11"/>
    <s v="COD"/>
    <x v="103"/>
    <s v="Kyle Dickson"/>
    <x v="4"/>
    <s v="Dallas"/>
    <n v="19.935323383084576"/>
  </r>
  <r>
    <x v="282"/>
    <x v="472"/>
    <n v="231"/>
    <n v="18"/>
    <x v="2"/>
    <x v="11"/>
    <s v="EMI"/>
    <x v="299"/>
    <s v="Jacob Decker"/>
    <x v="0"/>
    <s v="Tampa"/>
    <n v="3.5064935064935066"/>
  </r>
  <r>
    <x v="283"/>
    <x v="473"/>
    <n v="2071"/>
    <n v="18"/>
    <x v="2"/>
    <x v="11"/>
    <s v="Debit Card"/>
    <x v="382"/>
    <s v="Aaron Johnson"/>
    <x v="2"/>
    <s v="Rochester"/>
    <n v="4.7267020762916463"/>
  </r>
  <r>
    <x v="283"/>
    <x v="474"/>
    <n v="4090"/>
    <n v="8"/>
    <x v="0"/>
    <x v="0"/>
    <s v="COD"/>
    <x v="382"/>
    <s v="Aaron Johnson"/>
    <x v="2"/>
    <s v="Rochester"/>
    <n v="2.2564792176039119"/>
  </r>
  <r>
    <x v="284"/>
    <x v="475"/>
    <n v="3968"/>
    <n v="18"/>
    <x v="1"/>
    <x v="6"/>
    <s v="Debit Card"/>
    <x v="56"/>
    <s v="William Morse"/>
    <x v="2"/>
    <s v="Rochester"/>
    <n v="2.051663306451613"/>
  </r>
  <r>
    <x v="284"/>
    <x v="475"/>
    <n v="3968"/>
    <n v="18"/>
    <x v="1"/>
    <x v="6"/>
    <s v="Debit Card"/>
    <x v="383"/>
    <s v="Carrie Smith"/>
    <x v="1"/>
    <s v="Peoria"/>
    <n v="2.051663306451613"/>
  </r>
  <r>
    <x v="284"/>
    <x v="476"/>
    <n v="251"/>
    <n v="14"/>
    <x v="2"/>
    <x v="7"/>
    <s v="EMI"/>
    <x v="56"/>
    <s v="William Morse"/>
    <x v="2"/>
    <s v="Rochester"/>
    <n v="4.2509960159362548"/>
  </r>
  <r>
    <x v="284"/>
    <x v="476"/>
    <n v="251"/>
    <n v="14"/>
    <x v="2"/>
    <x v="7"/>
    <s v="EMI"/>
    <x v="383"/>
    <s v="Carrie Smith"/>
    <x v="1"/>
    <s v="Peoria"/>
    <n v="4.2509960159362548"/>
  </r>
  <r>
    <x v="285"/>
    <x v="477"/>
    <n v="1415"/>
    <n v="10"/>
    <x v="1"/>
    <x v="9"/>
    <s v="UPI"/>
    <x v="384"/>
    <s v="Vincent Roth"/>
    <x v="3"/>
    <s v="Los Angeles"/>
    <n v="2.7130742049469965"/>
  </r>
  <r>
    <x v="285"/>
    <x v="477"/>
    <n v="1415"/>
    <n v="10"/>
    <x v="1"/>
    <x v="9"/>
    <s v="UPI"/>
    <x v="360"/>
    <s v="Andrew Benson"/>
    <x v="0"/>
    <s v="Orlando"/>
    <n v="2.7130742049469965"/>
  </r>
  <r>
    <x v="286"/>
    <x v="101"/>
    <n v="482"/>
    <n v="13"/>
    <x v="0"/>
    <x v="0"/>
    <s v="COD"/>
    <x v="385"/>
    <s v="Jason Wilson"/>
    <x v="4"/>
    <s v="Austin"/>
    <n v="5.9294605809128633"/>
  </r>
  <r>
    <x v="287"/>
    <x v="478"/>
    <n v="638"/>
    <n v="12"/>
    <x v="2"/>
    <x v="11"/>
    <s v="Debit Card"/>
    <x v="218"/>
    <s v="Colin Patterson"/>
    <x v="2"/>
    <s v="New York City"/>
    <n v="3.3495297805642634"/>
  </r>
  <r>
    <x v="287"/>
    <x v="479"/>
    <n v="1289"/>
    <n v="12"/>
    <x v="2"/>
    <x v="5"/>
    <s v="Debit Card"/>
    <x v="218"/>
    <s v="Colin Patterson"/>
    <x v="2"/>
    <s v="New York City"/>
    <n v="2.1962761830876647"/>
  </r>
  <r>
    <x v="288"/>
    <x v="480"/>
    <n v="961"/>
    <n v="15"/>
    <x v="2"/>
    <x v="7"/>
    <s v="UPI"/>
    <x v="386"/>
    <s v="Eric Bates"/>
    <x v="5"/>
    <s v="Columbus"/>
    <n v="4.071800208116545"/>
  </r>
  <r>
    <x v="288"/>
    <x v="480"/>
    <n v="961"/>
    <n v="15"/>
    <x v="2"/>
    <x v="7"/>
    <s v="UPI"/>
    <x v="387"/>
    <s v="Steven Keith"/>
    <x v="3"/>
    <s v="San Francisco"/>
    <n v="4.071800208116545"/>
  </r>
  <r>
    <x v="289"/>
    <x v="481"/>
    <n v="1940"/>
    <n v="9"/>
    <x v="1"/>
    <x v="8"/>
    <s v="COD"/>
    <x v="388"/>
    <s v="Seth Rodriguez"/>
    <x v="0"/>
    <s v="Tampa"/>
    <n v="2.3030927835051545"/>
  </r>
  <r>
    <x v="290"/>
    <x v="482"/>
    <n v="602"/>
    <n v="9"/>
    <x v="0"/>
    <x v="3"/>
    <s v="Credit Card"/>
    <x v="389"/>
    <s v="Lauren Jones"/>
    <x v="5"/>
    <s v="Cincinnati"/>
    <n v="2.6229235880398671"/>
  </r>
  <r>
    <x v="290"/>
    <x v="482"/>
    <n v="602"/>
    <n v="9"/>
    <x v="0"/>
    <x v="3"/>
    <s v="Credit Card"/>
    <x v="390"/>
    <s v="Thomas Wallace"/>
    <x v="4"/>
    <s v="Dallas"/>
    <n v="2.6229235880398671"/>
  </r>
  <r>
    <x v="290"/>
    <x v="482"/>
    <n v="602"/>
    <n v="9"/>
    <x v="0"/>
    <x v="3"/>
    <s v="Credit Card"/>
    <x v="84"/>
    <s v="Mr. Daniel Wilson"/>
    <x v="5"/>
    <s v="Cincinnati"/>
    <n v="2.6229235880398671"/>
  </r>
  <r>
    <x v="290"/>
    <x v="482"/>
    <n v="602"/>
    <n v="9"/>
    <x v="0"/>
    <x v="3"/>
    <s v="Credit Card"/>
    <x v="391"/>
    <s v="Julie Smith MD"/>
    <x v="2"/>
    <s v="Rochester"/>
    <n v="2.6229235880398671"/>
  </r>
  <r>
    <x v="290"/>
    <x v="483"/>
    <n v="1849"/>
    <n v="19"/>
    <x v="2"/>
    <x v="5"/>
    <s v="EMI"/>
    <x v="389"/>
    <s v="Lauren Jones"/>
    <x v="5"/>
    <s v="Cincinnati"/>
    <n v="2.0335316387236344"/>
  </r>
  <r>
    <x v="290"/>
    <x v="483"/>
    <n v="1849"/>
    <n v="19"/>
    <x v="2"/>
    <x v="5"/>
    <s v="EMI"/>
    <x v="390"/>
    <s v="Thomas Wallace"/>
    <x v="4"/>
    <s v="Dallas"/>
    <n v="2.0335316387236344"/>
  </r>
  <r>
    <x v="290"/>
    <x v="483"/>
    <n v="1849"/>
    <n v="19"/>
    <x v="2"/>
    <x v="5"/>
    <s v="EMI"/>
    <x v="84"/>
    <s v="Mr. Daniel Wilson"/>
    <x v="5"/>
    <s v="Cincinnati"/>
    <n v="2.0335316387236344"/>
  </r>
  <r>
    <x v="290"/>
    <x v="483"/>
    <n v="1849"/>
    <n v="19"/>
    <x v="2"/>
    <x v="5"/>
    <s v="EMI"/>
    <x v="391"/>
    <s v="Julie Smith MD"/>
    <x v="2"/>
    <s v="Rochester"/>
    <n v="2.0335316387236344"/>
  </r>
  <r>
    <x v="291"/>
    <x v="484"/>
    <n v="3099"/>
    <n v="14"/>
    <x v="1"/>
    <x v="2"/>
    <s v="Credit Card"/>
    <x v="392"/>
    <s v="Carol Mitchell"/>
    <x v="1"/>
    <s v="Chicago"/>
    <n v="2.8092933204259438"/>
  </r>
  <r>
    <x v="291"/>
    <x v="485"/>
    <n v="696"/>
    <n v="14"/>
    <x v="0"/>
    <x v="0"/>
    <s v="Credit Card"/>
    <x v="392"/>
    <s v="Carol Mitchell"/>
    <x v="1"/>
    <s v="Chicago"/>
    <n v="6.764367816091954"/>
  </r>
  <r>
    <x v="291"/>
    <x v="486"/>
    <n v="3132"/>
    <n v="17"/>
    <x v="2"/>
    <x v="5"/>
    <s v="COD"/>
    <x v="392"/>
    <s v="Carol Mitchell"/>
    <x v="1"/>
    <s v="Chicago"/>
    <n v="2.5826947637292466"/>
  </r>
  <r>
    <x v="292"/>
    <x v="487"/>
    <n v="673"/>
    <n v="12"/>
    <x v="0"/>
    <x v="1"/>
    <s v="Debit Card"/>
    <x v="393"/>
    <s v="John Thompson"/>
    <x v="4"/>
    <s v="Austin"/>
    <n v="8.1158989598811289"/>
  </r>
  <r>
    <x v="293"/>
    <x v="488"/>
    <n v="444"/>
    <n v="18"/>
    <x v="0"/>
    <x v="0"/>
    <s v="Credit Card"/>
    <x v="394"/>
    <s v="Debra Rodriguez"/>
    <x v="0"/>
    <s v="Tampa"/>
    <n v="14.396396396396396"/>
  </r>
  <r>
    <x v="294"/>
    <x v="484"/>
    <n v="1724"/>
    <n v="3"/>
    <x v="0"/>
    <x v="0"/>
    <s v="Debit Card"/>
    <x v="395"/>
    <s v="Erin Vasquez"/>
    <x v="0"/>
    <s v="Orlando"/>
    <n v="5.0498839907192572"/>
  </r>
  <r>
    <x v="295"/>
    <x v="489"/>
    <n v="319"/>
    <n v="4"/>
    <x v="1"/>
    <x v="2"/>
    <s v="UPI"/>
    <x v="138"/>
    <s v="Clayton Lara"/>
    <x v="0"/>
    <s v="Miami"/>
    <n v="7.3636363636363633"/>
  </r>
  <r>
    <x v="295"/>
    <x v="490"/>
    <n v="3882"/>
    <n v="14"/>
    <x v="2"/>
    <x v="5"/>
    <s v="UPI"/>
    <x v="138"/>
    <s v="Clayton Lara"/>
    <x v="0"/>
    <s v="Miami"/>
    <n v="2.117465224111283"/>
  </r>
  <r>
    <x v="295"/>
    <x v="491"/>
    <n v="279"/>
    <n v="7"/>
    <x v="2"/>
    <x v="5"/>
    <s v="Debit Card"/>
    <x v="138"/>
    <s v="Clayton Lara"/>
    <x v="0"/>
    <s v="Miami"/>
    <n v="8.5268817204301079"/>
  </r>
  <r>
    <x v="295"/>
    <x v="348"/>
    <n v="2049"/>
    <n v="4"/>
    <x v="1"/>
    <x v="6"/>
    <s v="UPI"/>
    <x v="138"/>
    <s v="Clayton Lara"/>
    <x v="0"/>
    <s v="Miami"/>
    <n v="3.6002928257686677"/>
  </r>
  <r>
    <x v="296"/>
    <x v="492"/>
    <n v="158"/>
    <n v="16"/>
    <x v="2"/>
    <x v="4"/>
    <s v="Credit Card"/>
    <x v="396"/>
    <s v="Tony Ray"/>
    <x v="5"/>
    <s v="Cleveland"/>
    <n v="4.537974683544304"/>
  </r>
  <r>
    <x v="296"/>
    <x v="492"/>
    <n v="158"/>
    <n v="16"/>
    <x v="2"/>
    <x v="4"/>
    <s v="Credit Card"/>
    <x v="397"/>
    <s v="Steven Frey"/>
    <x v="0"/>
    <s v="Miami"/>
    <n v="4.537974683544304"/>
  </r>
  <r>
    <x v="296"/>
    <x v="492"/>
    <n v="158"/>
    <n v="16"/>
    <x v="2"/>
    <x v="4"/>
    <s v="Credit Card"/>
    <x v="56"/>
    <s v="Stephanie Leonard"/>
    <x v="2"/>
    <s v="Buffalo"/>
    <n v="4.537974683544304"/>
  </r>
  <r>
    <x v="296"/>
    <x v="492"/>
    <n v="158"/>
    <n v="16"/>
    <x v="2"/>
    <x v="4"/>
    <s v="Credit Card"/>
    <x v="398"/>
    <s v="Crystal Chambers"/>
    <x v="2"/>
    <s v="New York City"/>
    <n v="4.537974683544304"/>
  </r>
  <r>
    <x v="296"/>
    <x v="492"/>
    <n v="158"/>
    <n v="16"/>
    <x v="2"/>
    <x v="4"/>
    <s v="Credit Card"/>
    <x v="399"/>
    <s v="Robert White"/>
    <x v="0"/>
    <s v="Orlando"/>
    <n v="4.537974683544304"/>
  </r>
  <r>
    <x v="296"/>
    <x v="492"/>
    <n v="158"/>
    <n v="16"/>
    <x v="2"/>
    <x v="4"/>
    <s v="Credit Card"/>
    <x v="400"/>
    <s v="Sylvia Barron"/>
    <x v="2"/>
    <s v="Rochester"/>
    <n v="4.537974683544304"/>
  </r>
  <r>
    <x v="296"/>
    <x v="493"/>
    <n v="177"/>
    <n v="17"/>
    <x v="2"/>
    <x v="7"/>
    <s v="UPI"/>
    <x v="396"/>
    <s v="Tony Ray"/>
    <x v="5"/>
    <s v="Cleveland"/>
    <n v="2.8700564971751414"/>
  </r>
  <r>
    <x v="296"/>
    <x v="493"/>
    <n v="177"/>
    <n v="17"/>
    <x v="2"/>
    <x v="7"/>
    <s v="UPI"/>
    <x v="397"/>
    <s v="Steven Frey"/>
    <x v="0"/>
    <s v="Miami"/>
    <n v="2.8700564971751414"/>
  </r>
  <r>
    <x v="296"/>
    <x v="493"/>
    <n v="177"/>
    <n v="17"/>
    <x v="2"/>
    <x v="7"/>
    <s v="UPI"/>
    <x v="56"/>
    <s v="Stephanie Leonard"/>
    <x v="2"/>
    <s v="Buffalo"/>
    <n v="2.8700564971751414"/>
  </r>
  <r>
    <x v="296"/>
    <x v="493"/>
    <n v="177"/>
    <n v="17"/>
    <x v="2"/>
    <x v="7"/>
    <s v="UPI"/>
    <x v="398"/>
    <s v="Crystal Chambers"/>
    <x v="2"/>
    <s v="New York City"/>
    <n v="2.8700564971751414"/>
  </r>
  <r>
    <x v="296"/>
    <x v="493"/>
    <n v="177"/>
    <n v="17"/>
    <x v="2"/>
    <x v="7"/>
    <s v="UPI"/>
    <x v="399"/>
    <s v="Robert White"/>
    <x v="0"/>
    <s v="Orlando"/>
    <n v="2.8700564971751414"/>
  </r>
  <r>
    <x v="296"/>
    <x v="493"/>
    <n v="177"/>
    <n v="17"/>
    <x v="2"/>
    <x v="7"/>
    <s v="UPI"/>
    <x v="400"/>
    <s v="Sylvia Barron"/>
    <x v="2"/>
    <s v="Rochester"/>
    <n v="2.8700564971751414"/>
  </r>
  <r>
    <x v="297"/>
    <x v="494"/>
    <n v="1085"/>
    <n v="3"/>
    <x v="0"/>
    <x v="1"/>
    <s v="Debit Card"/>
    <x v="401"/>
    <s v="Marcus Brown"/>
    <x v="1"/>
    <s v="Chicago"/>
    <n v="8.6470046082949317"/>
  </r>
  <r>
    <x v="297"/>
    <x v="494"/>
    <n v="1085"/>
    <n v="3"/>
    <x v="0"/>
    <x v="1"/>
    <s v="Debit Card"/>
    <x v="52"/>
    <s v="Annette Pierce"/>
    <x v="2"/>
    <s v="Rochester"/>
    <n v="8.6470046082949317"/>
  </r>
  <r>
    <x v="297"/>
    <x v="495"/>
    <n v="576"/>
    <n v="19"/>
    <x v="2"/>
    <x v="4"/>
    <s v="COD"/>
    <x v="401"/>
    <s v="Marcus Brown"/>
    <x v="1"/>
    <s v="Chicago"/>
    <n v="8.5694444444444446"/>
  </r>
  <r>
    <x v="297"/>
    <x v="495"/>
    <n v="576"/>
    <n v="19"/>
    <x v="2"/>
    <x v="4"/>
    <s v="COD"/>
    <x v="52"/>
    <s v="Annette Pierce"/>
    <x v="2"/>
    <s v="Rochester"/>
    <n v="8.5694444444444446"/>
  </r>
  <r>
    <x v="298"/>
    <x v="496"/>
    <n v="64"/>
    <n v="19"/>
    <x v="2"/>
    <x v="7"/>
    <s v="COD"/>
    <x v="194"/>
    <s v="Donald Hernandez"/>
    <x v="3"/>
    <s v="San Francisco"/>
    <n v="41.609375"/>
  </r>
  <r>
    <x v="298"/>
    <x v="496"/>
    <n v="64"/>
    <n v="19"/>
    <x v="2"/>
    <x v="7"/>
    <s v="COD"/>
    <x v="204"/>
    <s v="Megan Davis"/>
    <x v="5"/>
    <s v="Cleveland"/>
    <n v="41.609375"/>
  </r>
  <r>
    <x v="299"/>
    <x v="497"/>
    <n v="1680"/>
    <n v="5"/>
    <x v="0"/>
    <x v="1"/>
    <s v="EMI"/>
    <x v="402"/>
    <s v="Robert Brooks"/>
    <x v="4"/>
    <s v="Houston"/>
    <n v="3.0660714285714286"/>
  </r>
  <r>
    <x v="300"/>
    <x v="498"/>
    <n v="95"/>
    <n v="8"/>
    <x v="1"/>
    <x v="2"/>
    <s v="UPI"/>
    <x v="403"/>
    <s v="Miguel Alvarez"/>
    <x v="2"/>
    <s v="Rochester"/>
    <n v="26.463157894736842"/>
  </r>
  <r>
    <x v="301"/>
    <x v="499"/>
    <n v="2976"/>
    <n v="2"/>
    <x v="0"/>
    <x v="3"/>
    <s v="EMI"/>
    <x v="404"/>
    <s v="Jennifer Arnold"/>
    <x v="2"/>
    <s v="New York City"/>
    <n v="2.059475806451613"/>
  </r>
  <r>
    <x v="301"/>
    <x v="500"/>
    <n v="1663"/>
    <n v="3"/>
    <x v="2"/>
    <x v="11"/>
    <s v="COD"/>
    <x v="404"/>
    <s v="Jennifer Arnold"/>
    <x v="2"/>
    <s v="New York City"/>
    <n v="2.6428141912206855"/>
  </r>
  <r>
    <x v="302"/>
    <x v="501"/>
    <n v="2642"/>
    <n v="8"/>
    <x v="2"/>
    <x v="5"/>
    <s v="UPI"/>
    <x v="405"/>
    <s v="Jessica Blankenship"/>
    <x v="5"/>
    <s v="Cincinnati"/>
    <n v="2.0412566237698715"/>
  </r>
  <r>
    <x v="303"/>
    <x v="502"/>
    <n v="509"/>
    <n v="8"/>
    <x v="0"/>
    <x v="10"/>
    <s v="Credit Card"/>
    <x v="125"/>
    <s v="Peggy Campos"/>
    <x v="2"/>
    <s v="Buffalo"/>
    <n v="4.4793713163064837"/>
  </r>
  <r>
    <x v="304"/>
    <x v="503"/>
    <n v="1439"/>
    <n v="9"/>
    <x v="1"/>
    <x v="8"/>
    <s v="Debit Card"/>
    <x v="355"/>
    <s v="Craig Ortega"/>
    <x v="5"/>
    <s v="Cincinnati"/>
    <n v="4.5837387074357192"/>
  </r>
  <r>
    <x v="305"/>
    <x v="504"/>
    <n v="1896"/>
    <n v="5"/>
    <x v="1"/>
    <x v="8"/>
    <s v="EMI"/>
    <x v="406"/>
    <s v="Johnny Simon"/>
    <x v="3"/>
    <s v="Los Angeles"/>
    <n v="2.378691983122363"/>
  </r>
  <r>
    <x v="306"/>
    <x v="505"/>
    <n v="2378"/>
    <n v="18"/>
    <x v="0"/>
    <x v="10"/>
    <s v="COD"/>
    <x v="232"/>
    <s v="Keith Brooks"/>
    <x v="2"/>
    <s v="New York City"/>
    <n v="2.5555088309503784"/>
  </r>
  <r>
    <x v="307"/>
    <x v="506"/>
    <n v="2510"/>
    <n v="17"/>
    <x v="0"/>
    <x v="1"/>
    <s v="COD"/>
    <x v="211"/>
    <s v="Jason Martinez"/>
    <x v="5"/>
    <s v="Columbus"/>
    <n v="2.1430278884462153"/>
  </r>
  <r>
    <x v="308"/>
    <x v="507"/>
    <n v="1660"/>
    <n v="16"/>
    <x v="1"/>
    <x v="6"/>
    <s v="EMI"/>
    <x v="407"/>
    <s v="Steven Herrera"/>
    <x v="3"/>
    <s v="San Diego"/>
    <n v="2.7885542168674697"/>
  </r>
  <r>
    <x v="309"/>
    <x v="508"/>
    <n v="555"/>
    <n v="20"/>
    <x v="0"/>
    <x v="3"/>
    <s v="Debit Card"/>
    <x v="408"/>
    <s v="Beverly Lamb"/>
    <x v="1"/>
    <s v="Chicago"/>
    <n v="4.8828828828828827"/>
  </r>
  <r>
    <x v="309"/>
    <x v="509"/>
    <n v="1018"/>
    <n v="14"/>
    <x v="1"/>
    <x v="9"/>
    <s v="UPI"/>
    <x v="408"/>
    <s v="Beverly Lamb"/>
    <x v="1"/>
    <s v="Chicago"/>
    <n v="3.1669941060903732"/>
  </r>
  <r>
    <x v="310"/>
    <x v="510"/>
    <n v="936"/>
    <n v="15"/>
    <x v="1"/>
    <x v="6"/>
    <s v="EMI"/>
    <x v="409"/>
    <s v="Michael Williams"/>
    <x v="1"/>
    <s v="Springfield"/>
    <n v="8.5918803418803424"/>
  </r>
  <r>
    <x v="310"/>
    <x v="510"/>
    <n v="936"/>
    <n v="15"/>
    <x v="1"/>
    <x v="6"/>
    <s v="EMI"/>
    <x v="410"/>
    <s v="Zachary Carpenter"/>
    <x v="3"/>
    <s v="Los Angeles"/>
    <n v="8.5918803418803424"/>
  </r>
  <r>
    <x v="311"/>
    <x v="511"/>
    <n v="151"/>
    <n v="10"/>
    <x v="1"/>
    <x v="9"/>
    <s v="EMI"/>
    <x v="411"/>
    <s v="Timothy Baker"/>
    <x v="4"/>
    <s v="Austin"/>
    <n v="26.205298013245034"/>
  </r>
  <r>
    <x v="312"/>
    <x v="243"/>
    <n v="3178"/>
    <n v="16"/>
    <x v="1"/>
    <x v="6"/>
    <s v="Debit Card"/>
    <x v="412"/>
    <s v="Adam James"/>
    <x v="1"/>
    <s v="Chicago"/>
    <n v="2.7592825676526118"/>
  </r>
  <r>
    <x v="313"/>
    <x v="512"/>
    <n v="917"/>
    <n v="16"/>
    <x v="1"/>
    <x v="2"/>
    <s v="Debit Card"/>
    <x v="413"/>
    <s v="Katrina Wood"/>
    <x v="1"/>
    <s v="Chicago"/>
    <n v="3.2246455834242096"/>
  </r>
  <r>
    <x v="314"/>
    <x v="513"/>
    <n v="2607"/>
    <n v="6"/>
    <x v="1"/>
    <x v="8"/>
    <s v="Debit Card"/>
    <x v="414"/>
    <s v="James Murray"/>
    <x v="4"/>
    <s v="Dallas"/>
    <n v="2.0498657460682779"/>
  </r>
  <r>
    <x v="314"/>
    <x v="513"/>
    <n v="2607"/>
    <n v="6"/>
    <x v="1"/>
    <x v="8"/>
    <s v="Debit Card"/>
    <x v="415"/>
    <s v="Mr. Nathaniel Reeves"/>
    <x v="2"/>
    <s v="Rochester"/>
    <n v="2.0498657460682779"/>
  </r>
  <r>
    <x v="315"/>
    <x v="514"/>
    <n v="2121"/>
    <n v="19"/>
    <x v="0"/>
    <x v="3"/>
    <s v="EMI"/>
    <x v="416"/>
    <s v="Jodi Wood"/>
    <x v="5"/>
    <s v="Cleveland"/>
    <n v="2.8576143328618575"/>
  </r>
  <r>
    <x v="315"/>
    <x v="514"/>
    <n v="2121"/>
    <n v="19"/>
    <x v="0"/>
    <x v="3"/>
    <s v="EMI"/>
    <x v="417"/>
    <s v="Dr. Thomas Peterson"/>
    <x v="3"/>
    <s v="San Diego"/>
    <n v="2.8576143328618575"/>
  </r>
  <r>
    <x v="316"/>
    <x v="515"/>
    <n v="1928"/>
    <n v="7"/>
    <x v="2"/>
    <x v="4"/>
    <s v="Credit Card"/>
    <x v="418"/>
    <s v="Mario Hall"/>
    <x v="2"/>
    <s v="New York City"/>
    <n v="2.7883817427385891"/>
  </r>
  <r>
    <x v="317"/>
    <x v="516"/>
    <n v="1008"/>
    <n v="8"/>
    <x v="0"/>
    <x v="1"/>
    <s v="COD"/>
    <x v="419"/>
    <s v="Justin Rosales"/>
    <x v="0"/>
    <s v="Miami"/>
    <n v="2.7698412698412698"/>
  </r>
  <r>
    <x v="318"/>
    <x v="517"/>
    <n v="249"/>
    <n v="5"/>
    <x v="1"/>
    <x v="9"/>
    <s v="Credit Card"/>
    <x v="420"/>
    <s v="Autumn Lee"/>
    <x v="5"/>
    <s v="Columbus"/>
    <n v="11.823293172690763"/>
  </r>
  <r>
    <x v="318"/>
    <x v="517"/>
    <n v="249"/>
    <n v="5"/>
    <x v="1"/>
    <x v="9"/>
    <s v="Credit Card"/>
    <x v="421"/>
    <s v="Victoria Duran"/>
    <x v="4"/>
    <s v="Dallas"/>
    <n v="11.823293172690763"/>
  </r>
  <r>
    <x v="319"/>
    <x v="518"/>
    <n v="945"/>
    <n v="13"/>
    <x v="1"/>
    <x v="6"/>
    <s v="EMI"/>
    <x v="422"/>
    <s v="Barry Garcia"/>
    <x v="1"/>
    <s v="Springfield"/>
    <n v="4.465608465608466"/>
  </r>
  <r>
    <x v="319"/>
    <x v="518"/>
    <n v="945"/>
    <n v="13"/>
    <x v="1"/>
    <x v="6"/>
    <s v="EMI"/>
    <x v="295"/>
    <s v="Dawn Webb"/>
    <x v="1"/>
    <s v="Peoria"/>
    <n v="4.465608465608466"/>
  </r>
  <r>
    <x v="320"/>
    <x v="519"/>
    <n v="1704"/>
    <n v="4"/>
    <x v="1"/>
    <x v="9"/>
    <s v="Debit Card"/>
    <x v="150"/>
    <s v="Patricia Sanford"/>
    <x v="4"/>
    <s v="Austin"/>
    <n v="5.003521126760563"/>
  </r>
  <r>
    <x v="321"/>
    <x v="520"/>
    <n v="1430"/>
    <n v="19"/>
    <x v="2"/>
    <x v="11"/>
    <s v="Credit Card"/>
    <x v="123"/>
    <s v="William Walters"/>
    <x v="3"/>
    <s v="San Francisco"/>
    <n v="5.7468531468531472"/>
  </r>
  <r>
    <x v="322"/>
    <x v="521"/>
    <n v="265"/>
    <n v="4"/>
    <x v="0"/>
    <x v="10"/>
    <s v="Credit Card"/>
    <x v="423"/>
    <s v="Emma Scott"/>
    <x v="2"/>
    <s v="Buffalo"/>
    <n v="2.2603773584905662"/>
  </r>
  <r>
    <x v="322"/>
    <x v="521"/>
    <n v="265"/>
    <n v="4"/>
    <x v="0"/>
    <x v="10"/>
    <s v="Credit Card"/>
    <x v="424"/>
    <s v="Sabrina Buckley"/>
    <x v="2"/>
    <s v="Rochester"/>
    <n v="2.2603773584905662"/>
  </r>
  <r>
    <x v="322"/>
    <x v="522"/>
    <n v="543"/>
    <n v="10"/>
    <x v="2"/>
    <x v="11"/>
    <s v="Credit Card"/>
    <x v="423"/>
    <s v="Emma Scott"/>
    <x v="2"/>
    <s v="Buffalo"/>
    <n v="5.0220994475138125"/>
  </r>
  <r>
    <x v="322"/>
    <x v="522"/>
    <n v="543"/>
    <n v="10"/>
    <x v="2"/>
    <x v="11"/>
    <s v="Credit Card"/>
    <x v="424"/>
    <s v="Sabrina Buckley"/>
    <x v="2"/>
    <s v="Rochester"/>
    <n v="5.0220994475138125"/>
  </r>
  <r>
    <x v="323"/>
    <x v="523"/>
    <n v="605"/>
    <n v="11"/>
    <x v="1"/>
    <x v="2"/>
    <s v="EMI"/>
    <x v="425"/>
    <s v="Robert Rojas"/>
    <x v="3"/>
    <s v="San Francisco"/>
    <n v="4.2793388429752062"/>
  </r>
  <r>
    <x v="323"/>
    <x v="523"/>
    <n v="605"/>
    <n v="11"/>
    <x v="1"/>
    <x v="2"/>
    <s v="EMI"/>
    <x v="366"/>
    <s v="Eric Johnson"/>
    <x v="5"/>
    <s v="Cleveland"/>
    <n v="4.2793388429752062"/>
  </r>
  <r>
    <x v="324"/>
    <x v="524"/>
    <n v="1100"/>
    <n v="9"/>
    <x v="0"/>
    <x v="0"/>
    <s v="EMI"/>
    <x v="426"/>
    <s v="Heather Parker"/>
    <x v="4"/>
    <s v="Austin"/>
    <n v="3.4327272727272726"/>
  </r>
  <r>
    <x v="324"/>
    <x v="524"/>
    <n v="1100"/>
    <n v="9"/>
    <x v="0"/>
    <x v="0"/>
    <s v="EMI"/>
    <x v="427"/>
    <s v="Thomas Matthews"/>
    <x v="1"/>
    <s v="Peoria"/>
    <n v="3.4327272727272726"/>
  </r>
  <r>
    <x v="325"/>
    <x v="525"/>
    <n v="1666"/>
    <n v="12"/>
    <x v="2"/>
    <x v="11"/>
    <s v="EMI"/>
    <x v="428"/>
    <s v="Kimberly Beard"/>
    <x v="5"/>
    <s v="Cleveland"/>
    <n v="3.24249699879952"/>
  </r>
  <r>
    <x v="326"/>
    <x v="526"/>
    <n v="885"/>
    <n v="16"/>
    <x v="1"/>
    <x v="2"/>
    <s v="EMI"/>
    <x v="429"/>
    <s v="Lydia Donovan"/>
    <x v="1"/>
    <s v="Peoria"/>
    <n v="5.8361581920903953"/>
  </r>
  <r>
    <x v="326"/>
    <x v="527"/>
    <n v="2394"/>
    <n v="4"/>
    <x v="2"/>
    <x v="11"/>
    <s v="EMI"/>
    <x v="429"/>
    <s v="Lydia Donovan"/>
    <x v="1"/>
    <s v="Peoria"/>
    <n v="2.0313283208020052"/>
  </r>
  <r>
    <x v="327"/>
    <x v="528"/>
    <n v="258"/>
    <n v="15"/>
    <x v="1"/>
    <x v="2"/>
    <s v="EMI"/>
    <x v="430"/>
    <s v="Edward Johnson"/>
    <x v="0"/>
    <s v="Orlando"/>
    <n v="6.3023255813953485"/>
  </r>
  <r>
    <x v="328"/>
    <x v="529"/>
    <n v="3962"/>
    <n v="7"/>
    <x v="2"/>
    <x v="4"/>
    <s v="EMI"/>
    <x v="161"/>
    <s v="Ricky Smith"/>
    <x v="0"/>
    <s v="Miami"/>
    <n v="2.2339727410398789"/>
  </r>
  <r>
    <x v="329"/>
    <x v="530"/>
    <n v="3295"/>
    <n v="9"/>
    <x v="2"/>
    <x v="4"/>
    <s v="COD"/>
    <x v="81"/>
    <s v="Mr. Ralph Garcia Jr."/>
    <x v="2"/>
    <s v="Rochester"/>
    <n v="2.9377845220030347"/>
  </r>
  <r>
    <x v="329"/>
    <x v="531"/>
    <n v="3666"/>
    <n v="8"/>
    <x v="1"/>
    <x v="2"/>
    <s v="UPI"/>
    <x v="81"/>
    <s v="Mr. Ralph Garcia Jr."/>
    <x v="2"/>
    <s v="Rochester"/>
    <n v="2.30987452264048"/>
  </r>
  <r>
    <x v="329"/>
    <x v="113"/>
    <n v="314"/>
    <n v="14"/>
    <x v="2"/>
    <x v="5"/>
    <s v="Debit Card"/>
    <x v="81"/>
    <s v="Mr. Ralph Garcia Jr."/>
    <x v="2"/>
    <s v="Rochester"/>
    <n v="14.143312101910828"/>
  </r>
  <r>
    <x v="330"/>
    <x v="532"/>
    <n v="2673"/>
    <n v="8"/>
    <x v="2"/>
    <x v="7"/>
    <s v="COD"/>
    <x v="431"/>
    <s v="Malik Walker"/>
    <x v="2"/>
    <s v="New York City"/>
    <n v="2.477366255144033"/>
  </r>
  <r>
    <x v="331"/>
    <x v="533"/>
    <n v="207"/>
    <n v="17"/>
    <x v="2"/>
    <x v="4"/>
    <s v="UPI"/>
    <x v="432"/>
    <s v="Tanya Walker"/>
    <x v="3"/>
    <s v="San Diego"/>
    <n v="15.748792270531402"/>
  </r>
  <r>
    <x v="332"/>
    <x v="534"/>
    <n v="2322"/>
    <n v="8"/>
    <x v="2"/>
    <x v="4"/>
    <s v="Debit Card"/>
    <x v="336"/>
    <s v="Sherri Ferguson DVM"/>
    <x v="4"/>
    <s v="Austin"/>
    <n v="3.7506459948320412"/>
  </r>
  <r>
    <x v="332"/>
    <x v="534"/>
    <n v="2322"/>
    <n v="8"/>
    <x v="2"/>
    <x v="4"/>
    <s v="Debit Card"/>
    <x v="433"/>
    <s v="Kristin Hart"/>
    <x v="3"/>
    <s v="San Francisco"/>
    <n v="3.7506459948320412"/>
  </r>
  <r>
    <x v="333"/>
    <x v="535"/>
    <n v="187"/>
    <n v="1"/>
    <x v="1"/>
    <x v="9"/>
    <s v="COD"/>
    <x v="434"/>
    <s v="Jim Johnson"/>
    <x v="5"/>
    <s v="Cincinnati"/>
    <n v="28.074866310160427"/>
  </r>
  <r>
    <x v="333"/>
    <x v="535"/>
    <n v="187"/>
    <n v="1"/>
    <x v="1"/>
    <x v="9"/>
    <s v="COD"/>
    <x v="435"/>
    <s v="David Hamilton"/>
    <x v="4"/>
    <s v="Houston"/>
    <n v="28.074866310160427"/>
  </r>
  <r>
    <x v="334"/>
    <x v="536"/>
    <n v="921"/>
    <n v="20"/>
    <x v="1"/>
    <x v="8"/>
    <s v="UPI"/>
    <x v="436"/>
    <s v="Michael Jimenez"/>
    <x v="3"/>
    <s v="Los Angeles"/>
    <n v="4.4690553745928341"/>
  </r>
  <r>
    <x v="334"/>
    <x v="536"/>
    <n v="921"/>
    <n v="20"/>
    <x v="1"/>
    <x v="8"/>
    <s v="UPI"/>
    <x v="437"/>
    <s v="Angela Norman"/>
    <x v="1"/>
    <s v="Springfield"/>
    <n v="4.4690553745928341"/>
  </r>
  <r>
    <x v="335"/>
    <x v="537"/>
    <n v="418"/>
    <n v="15"/>
    <x v="1"/>
    <x v="8"/>
    <s v="UPI"/>
    <x v="438"/>
    <s v="Denise Mcdaniel"/>
    <x v="3"/>
    <s v="Los Angeles"/>
    <n v="2.6531100478468899"/>
  </r>
  <r>
    <x v="336"/>
    <x v="538"/>
    <n v="562"/>
    <n v="7"/>
    <x v="1"/>
    <x v="2"/>
    <s v="EMI"/>
    <x v="352"/>
    <s v="Michael Rodriguez"/>
    <x v="2"/>
    <s v="Rochester"/>
    <n v="6.357651245551601"/>
  </r>
  <r>
    <x v="336"/>
    <x v="538"/>
    <n v="562"/>
    <n v="7"/>
    <x v="1"/>
    <x v="2"/>
    <s v="EMI"/>
    <x v="439"/>
    <s v="Matthew Huff"/>
    <x v="3"/>
    <s v="San Diego"/>
    <n v="6.357651245551601"/>
  </r>
  <r>
    <x v="336"/>
    <x v="538"/>
    <n v="562"/>
    <n v="7"/>
    <x v="1"/>
    <x v="2"/>
    <s v="EMI"/>
    <x v="440"/>
    <s v="Linda Little"/>
    <x v="0"/>
    <s v="Tampa"/>
    <n v="6.357651245551601"/>
  </r>
  <r>
    <x v="336"/>
    <x v="539"/>
    <n v="661"/>
    <n v="10"/>
    <x v="0"/>
    <x v="10"/>
    <s v="EMI"/>
    <x v="352"/>
    <s v="Michael Rodriguez"/>
    <x v="2"/>
    <s v="Rochester"/>
    <n v="12.18608169440242"/>
  </r>
  <r>
    <x v="336"/>
    <x v="539"/>
    <n v="661"/>
    <n v="10"/>
    <x v="0"/>
    <x v="10"/>
    <s v="EMI"/>
    <x v="439"/>
    <s v="Matthew Huff"/>
    <x v="3"/>
    <s v="San Diego"/>
    <n v="12.18608169440242"/>
  </r>
  <r>
    <x v="336"/>
    <x v="539"/>
    <n v="661"/>
    <n v="10"/>
    <x v="0"/>
    <x v="10"/>
    <s v="EMI"/>
    <x v="440"/>
    <s v="Linda Little"/>
    <x v="0"/>
    <s v="Tampa"/>
    <n v="12.18608169440242"/>
  </r>
  <r>
    <x v="337"/>
    <x v="540"/>
    <n v="2609"/>
    <n v="2"/>
    <x v="0"/>
    <x v="3"/>
    <s v="EMI"/>
    <x v="441"/>
    <s v="Kerri Andrews"/>
    <x v="3"/>
    <s v="San Francisco"/>
    <n v="2.6174779609045613"/>
  </r>
  <r>
    <x v="337"/>
    <x v="541"/>
    <n v="3089"/>
    <n v="12"/>
    <x v="1"/>
    <x v="8"/>
    <s v="COD"/>
    <x v="441"/>
    <s v="Kerri Andrews"/>
    <x v="3"/>
    <s v="San Francisco"/>
    <n v="2.0686306247976693"/>
  </r>
  <r>
    <x v="338"/>
    <x v="542"/>
    <n v="1574"/>
    <n v="17"/>
    <x v="1"/>
    <x v="2"/>
    <s v="Debit Card"/>
    <x v="442"/>
    <s v="Jeffrey Johnson III"/>
    <x v="3"/>
    <s v="San Francisco"/>
    <n v="3.7045743329097838"/>
  </r>
  <r>
    <x v="338"/>
    <x v="542"/>
    <n v="1574"/>
    <n v="17"/>
    <x v="1"/>
    <x v="2"/>
    <s v="Debit Card"/>
    <x v="114"/>
    <s v="Daniel Dixon"/>
    <x v="3"/>
    <s v="San Diego"/>
    <n v="3.7045743329097838"/>
  </r>
  <r>
    <x v="338"/>
    <x v="542"/>
    <n v="1574"/>
    <n v="17"/>
    <x v="1"/>
    <x v="2"/>
    <s v="Debit Card"/>
    <x v="53"/>
    <s v="Tiffany Robinson"/>
    <x v="0"/>
    <s v="Miami"/>
    <n v="3.7045743329097838"/>
  </r>
  <r>
    <x v="339"/>
    <x v="543"/>
    <n v="3865"/>
    <n v="8"/>
    <x v="2"/>
    <x v="7"/>
    <s v="Debit Card"/>
    <x v="443"/>
    <s v="Mr. Gregg Sawyer"/>
    <x v="1"/>
    <s v="Peoria"/>
    <n v="2.057438551099612"/>
  </r>
  <r>
    <x v="340"/>
    <x v="544"/>
    <n v="379"/>
    <n v="5"/>
    <x v="2"/>
    <x v="11"/>
    <s v="UPI"/>
    <x v="444"/>
    <s v="John Silva"/>
    <x v="3"/>
    <s v="Los Angeles"/>
    <n v="9.6543535620052765"/>
  </r>
  <r>
    <x v="341"/>
    <x v="545"/>
    <n v="1159"/>
    <n v="4"/>
    <x v="1"/>
    <x v="2"/>
    <s v="Debit Card"/>
    <x v="445"/>
    <s v="Nathan Moss"/>
    <x v="1"/>
    <s v="Springfield"/>
    <n v="3.6091458153580671"/>
  </r>
  <r>
    <x v="342"/>
    <x v="546"/>
    <n v="1381"/>
    <n v="11"/>
    <x v="0"/>
    <x v="10"/>
    <s v="EMI"/>
    <x v="198"/>
    <s v="Donald Medina"/>
    <x v="4"/>
    <s v="Houston"/>
    <n v="5.4149167270094134"/>
  </r>
  <r>
    <x v="343"/>
    <x v="547"/>
    <n v="238"/>
    <n v="9"/>
    <x v="0"/>
    <x v="10"/>
    <s v="COD"/>
    <x v="446"/>
    <s v="Charles Henderson"/>
    <x v="0"/>
    <s v="Tampa"/>
    <n v="2.9495798319327733"/>
  </r>
  <r>
    <x v="344"/>
    <x v="548"/>
    <n v="1494"/>
    <n v="15"/>
    <x v="2"/>
    <x v="5"/>
    <s v="EMI"/>
    <x v="447"/>
    <s v="Brenda Davis"/>
    <x v="3"/>
    <s v="San Francisco"/>
    <n v="2.7021419009370815"/>
  </r>
  <r>
    <x v="345"/>
    <x v="549"/>
    <n v="2332"/>
    <n v="2"/>
    <x v="2"/>
    <x v="5"/>
    <s v="COD"/>
    <x v="448"/>
    <s v="Leah Calderon"/>
    <x v="1"/>
    <s v="Chicago"/>
    <n v="2.1500857632933106"/>
  </r>
  <r>
    <x v="346"/>
    <x v="550"/>
    <n v="4930"/>
    <n v="15"/>
    <x v="0"/>
    <x v="3"/>
    <s v="Debit Card"/>
    <x v="123"/>
    <s v="Brandi Vasquez"/>
    <x v="2"/>
    <s v="Rochester"/>
    <n v="2.0038539553752535"/>
  </r>
  <r>
    <x v="347"/>
    <x v="551"/>
    <n v="3502"/>
    <n v="1"/>
    <x v="0"/>
    <x v="10"/>
    <s v="Debit Card"/>
    <x v="51"/>
    <s v="Debra Richards"/>
    <x v="0"/>
    <s v="Tampa"/>
    <n v="2.5019988577955452"/>
  </r>
  <r>
    <x v="348"/>
    <x v="552"/>
    <n v="800"/>
    <n v="1"/>
    <x v="1"/>
    <x v="2"/>
    <s v="EMI"/>
    <x v="389"/>
    <s v="Tammy Day"/>
    <x v="2"/>
    <s v="New York City"/>
    <n v="10.612500000000001"/>
  </r>
  <r>
    <x v="349"/>
    <x v="553"/>
    <n v="164"/>
    <n v="10"/>
    <x v="2"/>
    <x v="7"/>
    <s v="UPI"/>
    <x v="106"/>
    <s v="Sheila Clay"/>
    <x v="2"/>
    <s v="Buffalo"/>
    <n v="42.384146341463413"/>
  </r>
  <r>
    <x v="350"/>
    <x v="554"/>
    <n v="309"/>
    <n v="3"/>
    <x v="0"/>
    <x v="10"/>
    <s v="Credit Card"/>
    <x v="449"/>
    <s v="Nicholas Flores"/>
    <x v="5"/>
    <s v="Cleveland"/>
    <n v="3.4886731391585761"/>
  </r>
  <r>
    <x v="350"/>
    <x v="554"/>
    <n v="309"/>
    <n v="3"/>
    <x v="0"/>
    <x v="10"/>
    <s v="Credit Card"/>
    <x v="450"/>
    <s v="Jasmin Jones"/>
    <x v="1"/>
    <s v="Chicago"/>
    <n v="3.4886731391585761"/>
  </r>
  <r>
    <x v="351"/>
    <x v="555"/>
    <n v="2166"/>
    <n v="19"/>
    <x v="1"/>
    <x v="9"/>
    <s v="EMI"/>
    <x v="451"/>
    <s v="Matthew Gardner"/>
    <x v="0"/>
    <s v="Tampa"/>
    <n v="3.9519852262234534"/>
  </r>
  <r>
    <x v="351"/>
    <x v="556"/>
    <n v="318"/>
    <n v="20"/>
    <x v="0"/>
    <x v="0"/>
    <s v="UPI"/>
    <x v="451"/>
    <s v="Matthew Gardner"/>
    <x v="0"/>
    <s v="Tampa"/>
    <n v="3.242138364779874"/>
  </r>
  <r>
    <x v="352"/>
    <x v="557"/>
    <n v="2770"/>
    <n v="19"/>
    <x v="1"/>
    <x v="6"/>
    <s v="Debit Card"/>
    <x v="452"/>
    <s v="Joseph Perkins"/>
    <x v="0"/>
    <s v="Orlando"/>
    <n v="2.3111913357400722"/>
  </r>
  <r>
    <x v="352"/>
    <x v="557"/>
    <n v="2770"/>
    <n v="19"/>
    <x v="1"/>
    <x v="6"/>
    <s v="Debit Card"/>
    <x v="347"/>
    <s v="Ashley Adams MD"/>
    <x v="0"/>
    <s v="Orlando"/>
    <n v="2.3111913357400722"/>
  </r>
  <r>
    <x v="352"/>
    <x v="558"/>
    <n v="1594"/>
    <n v="19"/>
    <x v="0"/>
    <x v="1"/>
    <s v="Debit Card"/>
    <x v="452"/>
    <s v="Joseph Perkins"/>
    <x v="0"/>
    <s v="Orlando"/>
    <n v="3.7114178168130487"/>
  </r>
  <r>
    <x v="352"/>
    <x v="558"/>
    <n v="1594"/>
    <n v="19"/>
    <x v="0"/>
    <x v="1"/>
    <s v="Debit Card"/>
    <x v="347"/>
    <s v="Ashley Adams MD"/>
    <x v="0"/>
    <s v="Orlando"/>
    <n v="3.7114178168130487"/>
  </r>
  <r>
    <x v="353"/>
    <x v="559"/>
    <n v="1751"/>
    <n v="15"/>
    <x v="2"/>
    <x v="5"/>
    <s v="Debit Card"/>
    <x v="453"/>
    <s v="Cheryl Stevens"/>
    <x v="3"/>
    <s v="San Francisco"/>
    <n v="2.2929754426042264"/>
  </r>
  <r>
    <x v="353"/>
    <x v="559"/>
    <n v="1751"/>
    <n v="15"/>
    <x v="2"/>
    <x v="5"/>
    <s v="Debit Card"/>
    <x v="437"/>
    <s v="Jorge George"/>
    <x v="2"/>
    <s v="New York City"/>
    <n v="2.2929754426042264"/>
  </r>
  <r>
    <x v="354"/>
    <x v="560"/>
    <n v="557"/>
    <n v="11"/>
    <x v="0"/>
    <x v="0"/>
    <s v="COD"/>
    <x v="454"/>
    <s v="Ann Mooney"/>
    <x v="3"/>
    <s v="Los Angeles"/>
    <n v="16.759425493716339"/>
  </r>
  <r>
    <x v="355"/>
    <x v="561"/>
    <n v="594"/>
    <n v="11"/>
    <x v="1"/>
    <x v="9"/>
    <s v="COD"/>
    <x v="455"/>
    <s v="James Mendoza"/>
    <x v="5"/>
    <s v="Cleveland"/>
    <n v="7.9225589225589221"/>
  </r>
  <r>
    <x v="355"/>
    <x v="561"/>
    <n v="594"/>
    <n v="11"/>
    <x v="1"/>
    <x v="9"/>
    <s v="COD"/>
    <x v="456"/>
    <s v="Kaitlin Garrison"/>
    <x v="5"/>
    <s v="Columbus"/>
    <n v="7.9225589225589221"/>
  </r>
  <r>
    <x v="355"/>
    <x v="562"/>
    <n v="371"/>
    <n v="6"/>
    <x v="1"/>
    <x v="6"/>
    <s v="UPI"/>
    <x v="455"/>
    <s v="James Mendoza"/>
    <x v="5"/>
    <s v="Cleveland"/>
    <n v="17.746630727762803"/>
  </r>
  <r>
    <x v="355"/>
    <x v="562"/>
    <n v="371"/>
    <n v="6"/>
    <x v="1"/>
    <x v="6"/>
    <s v="UPI"/>
    <x v="456"/>
    <s v="Kaitlin Garrison"/>
    <x v="5"/>
    <s v="Columbus"/>
    <n v="17.746630727762803"/>
  </r>
  <r>
    <x v="356"/>
    <x v="563"/>
    <n v="734"/>
    <n v="1"/>
    <x v="2"/>
    <x v="7"/>
    <s v="EMI"/>
    <x v="19"/>
    <s v="Jeremy Jackson"/>
    <x v="4"/>
    <s v="Dallas"/>
    <n v="8.7043596730245234"/>
  </r>
  <r>
    <x v="357"/>
    <x v="564"/>
    <n v="4299"/>
    <n v="12"/>
    <x v="0"/>
    <x v="1"/>
    <s v="Debit Card"/>
    <x v="150"/>
    <s v="Dale Craig"/>
    <x v="3"/>
    <s v="San Diego"/>
    <n v="2.295650151197953"/>
  </r>
  <r>
    <x v="357"/>
    <x v="564"/>
    <n v="4299"/>
    <n v="12"/>
    <x v="0"/>
    <x v="1"/>
    <s v="Debit Card"/>
    <x v="382"/>
    <s v="Joseph Hooper"/>
    <x v="2"/>
    <s v="Buffalo"/>
    <n v="2.295650151197953"/>
  </r>
  <r>
    <x v="358"/>
    <x v="565"/>
    <n v="297"/>
    <n v="4"/>
    <x v="1"/>
    <x v="6"/>
    <s v="Debit Card"/>
    <x v="457"/>
    <s v="Alexander Adams"/>
    <x v="2"/>
    <s v="Buffalo"/>
    <n v="2.2053872053872055"/>
  </r>
  <r>
    <x v="358"/>
    <x v="565"/>
    <n v="297"/>
    <n v="4"/>
    <x v="1"/>
    <x v="6"/>
    <s v="Debit Card"/>
    <x v="458"/>
    <s v="Ashlee Mills"/>
    <x v="0"/>
    <s v="Orlando"/>
    <n v="2.2053872053872055"/>
  </r>
  <r>
    <x v="359"/>
    <x v="566"/>
    <n v="308"/>
    <n v="10"/>
    <x v="0"/>
    <x v="10"/>
    <s v="Debit Card"/>
    <x v="459"/>
    <s v="Brittany Jenkins"/>
    <x v="2"/>
    <s v="Buffalo"/>
    <n v="2.5909090909090908"/>
  </r>
  <r>
    <x v="359"/>
    <x v="566"/>
    <n v="308"/>
    <n v="10"/>
    <x v="0"/>
    <x v="10"/>
    <s v="Debit Card"/>
    <x v="460"/>
    <s v="Eddie Gonzales"/>
    <x v="5"/>
    <s v="Cleveland"/>
    <n v="2.5909090909090908"/>
  </r>
  <r>
    <x v="359"/>
    <x v="567"/>
    <n v="2504"/>
    <n v="13"/>
    <x v="0"/>
    <x v="1"/>
    <s v="EMI"/>
    <x v="459"/>
    <s v="Brittany Jenkins"/>
    <x v="2"/>
    <s v="Buffalo"/>
    <n v="3.1817092651757188"/>
  </r>
  <r>
    <x v="359"/>
    <x v="567"/>
    <n v="2504"/>
    <n v="13"/>
    <x v="0"/>
    <x v="1"/>
    <s v="EMI"/>
    <x v="460"/>
    <s v="Eddie Gonzales"/>
    <x v="5"/>
    <s v="Cleveland"/>
    <n v="3.1817092651757188"/>
  </r>
  <r>
    <x v="360"/>
    <x v="568"/>
    <n v="1318"/>
    <n v="5"/>
    <x v="2"/>
    <x v="4"/>
    <s v="UPI"/>
    <x v="461"/>
    <s v="Edward Valencia"/>
    <x v="0"/>
    <s v="Miami"/>
    <n v="2.849772382397572"/>
  </r>
  <r>
    <x v="361"/>
    <x v="569"/>
    <n v="2477"/>
    <n v="1"/>
    <x v="1"/>
    <x v="6"/>
    <s v="UPI"/>
    <x v="462"/>
    <s v="Emma Bruce"/>
    <x v="4"/>
    <s v="Austin"/>
    <n v="2.0976988292289058"/>
  </r>
  <r>
    <x v="361"/>
    <x v="570"/>
    <n v="1794"/>
    <n v="19"/>
    <x v="2"/>
    <x v="11"/>
    <s v="Debit Card"/>
    <x v="462"/>
    <s v="Emma Bruce"/>
    <x v="4"/>
    <s v="Austin"/>
    <n v="3.6711259754738017"/>
  </r>
  <r>
    <x v="362"/>
    <x v="571"/>
    <n v="950"/>
    <n v="19"/>
    <x v="1"/>
    <x v="6"/>
    <s v="EMI"/>
    <x v="209"/>
    <s v="Carl Wade DDS"/>
    <x v="2"/>
    <s v="Buffalo"/>
    <n v="7.0242105263157892"/>
  </r>
  <r>
    <x v="363"/>
    <x v="572"/>
    <n v="232"/>
    <n v="14"/>
    <x v="2"/>
    <x v="4"/>
    <s v="UPI"/>
    <x v="463"/>
    <s v="Brandon Alvarado"/>
    <x v="5"/>
    <s v="Columbus"/>
    <n v="3.0775862068965516"/>
  </r>
  <r>
    <x v="363"/>
    <x v="572"/>
    <n v="232"/>
    <n v="14"/>
    <x v="2"/>
    <x v="4"/>
    <s v="UPI"/>
    <x v="464"/>
    <s v="Jennifer Clark"/>
    <x v="4"/>
    <s v="Austin"/>
    <n v="3.0775862068965516"/>
  </r>
  <r>
    <x v="364"/>
    <x v="573"/>
    <n v="501"/>
    <n v="6"/>
    <x v="1"/>
    <x v="2"/>
    <s v="COD"/>
    <x v="465"/>
    <s v="David Johnson"/>
    <x v="4"/>
    <s v="Austin"/>
    <n v="2.1616766467065869"/>
  </r>
  <r>
    <x v="365"/>
    <x v="574"/>
    <n v="1163"/>
    <n v="10"/>
    <x v="2"/>
    <x v="11"/>
    <s v="UPI"/>
    <x v="230"/>
    <s v="April Marquez"/>
    <x v="5"/>
    <s v="Cleveland"/>
    <n v="2.0644883920894239"/>
  </r>
  <r>
    <x v="365"/>
    <x v="574"/>
    <n v="1163"/>
    <n v="10"/>
    <x v="2"/>
    <x v="11"/>
    <s v="UPI"/>
    <x v="466"/>
    <s v="Joseph Guerrero"/>
    <x v="3"/>
    <s v="Los Angeles"/>
    <n v="2.0644883920894239"/>
  </r>
  <r>
    <x v="365"/>
    <x v="574"/>
    <n v="1163"/>
    <n v="10"/>
    <x v="2"/>
    <x v="11"/>
    <s v="UPI"/>
    <x v="467"/>
    <s v="Michael Hanson"/>
    <x v="2"/>
    <s v="Rochester"/>
    <n v="2.0644883920894239"/>
  </r>
  <r>
    <x v="365"/>
    <x v="575"/>
    <n v="267"/>
    <n v="11"/>
    <x v="0"/>
    <x v="10"/>
    <s v="Debit Card"/>
    <x v="230"/>
    <s v="April Marquez"/>
    <x v="5"/>
    <s v="Cleveland"/>
    <n v="3.9138576779026217"/>
  </r>
  <r>
    <x v="365"/>
    <x v="575"/>
    <n v="267"/>
    <n v="11"/>
    <x v="0"/>
    <x v="10"/>
    <s v="Debit Card"/>
    <x v="466"/>
    <s v="Joseph Guerrero"/>
    <x v="3"/>
    <s v="Los Angeles"/>
    <n v="3.9138576779026217"/>
  </r>
  <r>
    <x v="365"/>
    <x v="575"/>
    <n v="267"/>
    <n v="11"/>
    <x v="0"/>
    <x v="10"/>
    <s v="Debit Card"/>
    <x v="467"/>
    <s v="Michael Hanson"/>
    <x v="2"/>
    <s v="Rochester"/>
    <n v="3.9138576779026217"/>
  </r>
  <r>
    <x v="366"/>
    <x v="576"/>
    <n v="1127"/>
    <n v="1"/>
    <x v="1"/>
    <x v="6"/>
    <s v="Credit Card"/>
    <x v="468"/>
    <s v="William Hill"/>
    <x v="4"/>
    <s v="Dallas"/>
    <n v="6.9263531499556343"/>
  </r>
  <r>
    <x v="367"/>
    <x v="577"/>
    <n v="1743"/>
    <n v="19"/>
    <x v="2"/>
    <x v="7"/>
    <s v="Credit Card"/>
    <x v="453"/>
    <s v="Kelsey Huber"/>
    <x v="0"/>
    <s v="Miami"/>
    <n v="3.0195065978198508"/>
  </r>
  <r>
    <x v="368"/>
    <x v="578"/>
    <n v="2526"/>
    <n v="6"/>
    <x v="1"/>
    <x v="2"/>
    <s v="Debit Card"/>
    <x v="469"/>
    <s v="Hailey Chandler"/>
    <x v="4"/>
    <s v="Dallas"/>
    <n v="2.4334916864608074"/>
  </r>
  <r>
    <x v="369"/>
    <x v="579"/>
    <n v="2871"/>
    <n v="15"/>
    <x v="0"/>
    <x v="10"/>
    <s v="UPI"/>
    <x v="470"/>
    <s v="Cheyenne Rose"/>
    <x v="0"/>
    <s v="Orlando"/>
    <n v="2.6067572274468827"/>
  </r>
  <r>
    <x v="369"/>
    <x v="579"/>
    <n v="2871"/>
    <n v="15"/>
    <x v="0"/>
    <x v="10"/>
    <s v="UPI"/>
    <x v="198"/>
    <s v="Richard Petersen"/>
    <x v="1"/>
    <s v="Chicago"/>
    <n v="2.6067572274468827"/>
  </r>
  <r>
    <x v="369"/>
    <x v="580"/>
    <n v="2712"/>
    <n v="1"/>
    <x v="2"/>
    <x v="7"/>
    <s v="Credit Card"/>
    <x v="470"/>
    <s v="Cheyenne Rose"/>
    <x v="0"/>
    <s v="Orlando"/>
    <n v="2.8392330383480826"/>
  </r>
  <r>
    <x v="369"/>
    <x v="580"/>
    <n v="2712"/>
    <n v="1"/>
    <x v="2"/>
    <x v="7"/>
    <s v="Credit Card"/>
    <x v="198"/>
    <s v="Richard Petersen"/>
    <x v="1"/>
    <s v="Chicago"/>
    <n v="2.8392330383480826"/>
  </r>
  <r>
    <x v="370"/>
    <x v="581"/>
    <n v="3586"/>
    <n v="13"/>
    <x v="1"/>
    <x v="6"/>
    <s v="UPI"/>
    <x v="111"/>
    <s v="Kathryn Gray"/>
    <x v="2"/>
    <s v="Rochester"/>
    <n v="2.3806469604015614"/>
  </r>
  <r>
    <x v="371"/>
    <x v="582"/>
    <n v="3394"/>
    <n v="6"/>
    <x v="2"/>
    <x v="5"/>
    <s v="COD"/>
    <x v="471"/>
    <s v="Victor Collins"/>
    <x v="3"/>
    <s v="San Diego"/>
    <n v="2.6098998232174426"/>
  </r>
  <r>
    <x v="372"/>
    <x v="583"/>
    <n v="2037"/>
    <n v="7"/>
    <x v="0"/>
    <x v="1"/>
    <s v="Debit Card"/>
    <x v="260"/>
    <s v="Jason Hernandez"/>
    <x v="3"/>
    <s v="San Francisco"/>
    <n v="2.6082474226804124"/>
  </r>
  <r>
    <x v="372"/>
    <x v="583"/>
    <n v="2037"/>
    <n v="7"/>
    <x v="0"/>
    <x v="1"/>
    <s v="Debit Card"/>
    <x v="472"/>
    <s v="Jacob Torres"/>
    <x v="4"/>
    <s v="Houston"/>
    <n v="2.6082474226804124"/>
  </r>
  <r>
    <x v="373"/>
    <x v="584"/>
    <n v="471"/>
    <n v="7"/>
    <x v="2"/>
    <x v="7"/>
    <s v="EMI"/>
    <x v="473"/>
    <s v="Erin Hernandez"/>
    <x v="3"/>
    <s v="Los Angeles"/>
    <n v="6.9660297239915074"/>
  </r>
  <r>
    <x v="373"/>
    <x v="584"/>
    <n v="471"/>
    <n v="7"/>
    <x v="2"/>
    <x v="7"/>
    <s v="EMI"/>
    <x v="474"/>
    <s v="Jacob Guzman"/>
    <x v="1"/>
    <s v="Peoria"/>
    <n v="6.9660297239915074"/>
  </r>
  <r>
    <x v="374"/>
    <x v="585"/>
    <n v="2458"/>
    <n v="9"/>
    <x v="1"/>
    <x v="2"/>
    <s v="Credit Card"/>
    <x v="475"/>
    <s v="Mike Armstrong"/>
    <x v="2"/>
    <s v="New York City"/>
    <n v="3.5317331163547601"/>
  </r>
  <r>
    <x v="375"/>
    <x v="586"/>
    <n v="1556"/>
    <n v="18"/>
    <x v="2"/>
    <x v="7"/>
    <s v="EMI"/>
    <x v="476"/>
    <s v="Cindy Rowland"/>
    <x v="1"/>
    <s v="Springfield"/>
    <n v="3.9813624678663238"/>
  </r>
  <r>
    <x v="376"/>
    <x v="587"/>
    <n v="481"/>
    <n v="16"/>
    <x v="2"/>
    <x v="5"/>
    <s v="Debit Card"/>
    <x v="477"/>
    <s v="Kenneth Matthews"/>
    <x v="2"/>
    <s v="Rochester"/>
    <n v="8.0602910602910605"/>
  </r>
  <r>
    <x v="376"/>
    <x v="587"/>
    <n v="481"/>
    <n v="16"/>
    <x v="2"/>
    <x v="5"/>
    <s v="Debit Card"/>
    <x v="478"/>
    <s v="Susan Valdez"/>
    <x v="2"/>
    <s v="New York City"/>
    <n v="8.0602910602910605"/>
  </r>
  <r>
    <x v="377"/>
    <x v="588"/>
    <n v="3297"/>
    <n v="6"/>
    <x v="0"/>
    <x v="1"/>
    <s v="Debit Card"/>
    <x v="479"/>
    <s v="Stephanie Manning"/>
    <x v="0"/>
    <s v="Orlando"/>
    <n v="2.8416742493175615"/>
  </r>
  <r>
    <x v="377"/>
    <x v="588"/>
    <n v="3297"/>
    <n v="6"/>
    <x v="0"/>
    <x v="1"/>
    <s v="Debit Card"/>
    <x v="480"/>
    <s v="Logan Galloway"/>
    <x v="2"/>
    <s v="New York City"/>
    <n v="2.8416742493175615"/>
  </r>
  <r>
    <x v="377"/>
    <x v="589"/>
    <n v="4068"/>
    <n v="20"/>
    <x v="0"/>
    <x v="1"/>
    <s v="Credit Card"/>
    <x v="479"/>
    <s v="Stephanie Manning"/>
    <x v="0"/>
    <s v="Orlando"/>
    <n v="2.1337266470009832"/>
  </r>
  <r>
    <x v="377"/>
    <x v="589"/>
    <n v="4068"/>
    <n v="20"/>
    <x v="0"/>
    <x v="1"/>
    <s v="Credit Card"/>
    <x v="480"/>
    <s v="Logan Galloway"/>
    <x v="2"/>
    <s v="New York City"/>
    <n v="2.1337266470009832"/>
  </r>
  <r>
    <x v="377"/>
    <x v="590"/>
    <n v="1475"/>
    <n v="8"/>
    <x v="0"/>
    <x v="3"/>
    <s v="UPI"/>
    <x v="479"/>
    <s v="Stephanie Manning"/>
    <x v="0"/>
    <s v="Orlando"/>
    <n v="2.0793220338983049"/>
  </r>
  <r>
    <x v="377"/>
    <x v="590"/>
    <n v="1475"/>
    <n v="8"/>
    <x v="0"/>
    <x v="3"/>
    <s v="UPI"/>
    <x v="480"/>
    <s v="Logan Galloway"/>
    <x v="2"/>
    <s v="New York City"/>
    <n v="2.0793220338983049"/>
  </r>
  <r>
    <x v="378"/>
    <x v="591"/>
    <n v="4197"/>
    <n v="2"/>
    <x v="1"/>
    <x v="6"/>
    <s v="EMI"/>
    <x v="418"/>
    <s v="Christopher Stone"/>
    <x v="5"/>
    <s v="Cincinnati"/>
    <n v="2.144865380033357"/>
  </r>
  <r>
    <x v="378"/>
    <x v="591"/>
    <n v="4197"/>
    <n v="2"/>
    <x v="1"/>
    <x v="6"/>
    <s v="EMI"/>
    <x v="481"/>
    <s v="Megan Pitts"/>
    <x v="5"/>
    <s v="Columbus"/>
    <n v="2.144865380033357"/>
  </r>
  <r>
    <x v="379"/>
    <x v="592"/>
    <n v="2782"/>
    <n v="19"/>
    <x v="1"/>
    <x v="2"/>
    <s v="COD"/>
    <x v="482"/>
    <s v="Richard Gardner"/>
    <x v="5"/>
    <s v="Columbus"/>
    <n v="2.5539180445722502"/>
  </r>
  <r>
    <x v="380"/>
    <x v="593"/>
    <n v="1345"/>
    <n v="18"/>
    <x v="2"/>
    <x v="5"/>
    <s v="Debit Card"/>
    <x v="17"/>
    <s v="Samuel Moore"/>
    <x v="5"/>
    <s v="Columbus"/>
    <n v="3.9531598513011152"/>
  </r>
  <r>
    <x v="380"/>
    <x v="593"/>
    <n v="1345"/>
    <n v="18"/>
    <x v="2"/>
    <x v="5"/>
    <s v="Debit Card"/>
    <x v="135"/>
    <s v="Robert Stokes"/>
    <x v="0"/>
    <s v="Orlando"/>
    <n v="3.9531598513011152"/>
  </r>
  <r>
    <x v="380"/>
    <x v="593"/>
    <n v="1345"/>
    <n v="18"/>
    <x v="2"/>
    <x v="5"/>
    <s v="Debit Card"/>
    <x v="483"/>
    <s v="Danielle Ramirez"/>
    <x v="3"/>
    <s v="San Francisco"/>
    <n v="3.9531598513011152"/>
  </r>
  <r>
    <x v="380"/>
    <x v="594"/>
    <n v="766"/>
    <n v="14"/>
    <x v="2"/>
    <x v="4"/>
    <s v="EMI"/>
    <x v="17"/>
    <s v="Samuel Moore"/>
    <x v="5"/>
    <s v="Columbus"/>
    <n v="8.2297650130548305"/>
  </r>
  <r>
    <x v="380"/>
    <x v="594"/>
    <n v="766"/>
    <n v="14"/>
    <x v="2"/>
    <x v="4"/>
    <s v="EMI"/>
    <x v="135"/>
    <s v="Robert Stokes"/>
    <x v="0"/>
    <s v="Orlando"/>
    <n v="8.2297650130548305"/>
  </r>
  <r>
    <x v="380"/>
    <x v="594"/>
    <n v="766"/>
    <n v="14"/>
    <x v="2"/>
    <x v="4"/>
    <s v="EMI"/>
    <x v="483"/>
    <s v="Danielle Ramirez"/>
    <x v="3"/>
    <s v="San Francisco"/>
    <n v="8.2297650130548305"/>
  </r>
  <r>
    <x v="381"/>
    <x v="595"/>
    <n v="1691"/>
    <n v="3"/>
    <x v="1"/>
    <x v="8"/>
    <s v="Debit Card"/>
    <x v="71"/>
    <s v="Taylor White"/>
    <x v="1"/>
    <s v="Springfield"/>
    <n v="5.6564163217031345"/>
  </r>
  <r>
    <x v="381"/>
    <x v="596"/>
    <n v="324"/>
    <n v="11"/>
    <x v="1"/>
    <x v="8"/>
    <s v="EMI"/>
    <x v="71"/>
    <s v="Taylor White"/>
    <x v="1"/>
    <s v="Springfield"/>
    <n v="25.447530864197532"/>
  </r>
  <r>
    <x v="382"/>
    <x v="597"/>
    <n v="480"/>
    <n v="13"/>
    <x v="0"/>
    <x v="3"/>
    <s v="Debit Card"/>
    <x v="138"/>
    <s v="Jordan Krause"/>
    <x v="5"/>
    <s v="Cleveland"/>
    <n v="3.3166666666666669"/>
  </r>
  <r>
    <x v="383"/>
    <x v="598"/>
    <n v="267"/>
    <n v="5"/>
    <x v="0"/>
    <x v="10"/>
    <s v="Debit Card"/>
    <x v="484"/>
    <s v="Kimberly King"/>
    <x v="5"/>
    <s v="Columbus"/>
    <n v="31.460674157303369"/>
  </r>
  <r>
    <x v="383"/>
    <x v="599"/>
    <n v="1254"/>
    <n v="15"/>
    <x v="1"/>
    <x v="8"/>
    <s v="EMI"/>
    <x v="484"/>
    <s v="Kimberly King"/>
    <x v="5"/>
    <s v="Columbus"/>
    <n v="3.9577352472089316"/>
  </r>
  <r>
    <x v="384"/>
    <x v="600"/>
    <n v="211"/>
    <n v="5"/>
    <x v="0"/>
    <x v="1"/>
    <s v="COD"/>
    <x v="317"/>
    <s v="Sharon Russell"/>
    <x v="3"/>
    <s v="San Diego"/>
    <n v="11.71563981042654"/>
  </r>
  <r>
    <x v="385"/>
    <x v="601"/>
    <n v="3096"/>
    <n v="14"/>
    <x v="2"/>
    <x v="5"/>
    <s v="Debit Card"/>
    <x v="20"/>
    <s v="Kevin Cooper"/>
    <x v="0"/>
    <s v="Tampa"/>
    <n v="2.9496124031007751"/>
  </r>
  <r>
    <x v="386"/>
    <x v="602"/>
    <n v="1577"/>
    <n v="6"/>
    <x v="1"/>
    <x v="9"/>
    <s v="Debit Card"/>
    <x v="485"/>
    <s v="Darrell Ramos"/>
    <x v="2"/>
    <s v="Rochester"/>
    <n v="5.2663284717818639"/>
  </r>
  <r>
    <x v="387"/>
    <x v="603"/>
    <n v="58"/>
    <n v="19"/>
    <x v="0"/>
    <x v="0"/>
    <s v="COD"/>
    <x v="486"/>
    <s v="Dr. Terry Alvarado"/>
    <x v="0"/>
    <s v="Tampa"/>
    <n v="17.413793103448278"/>
  </r>
  <r>
    <x v="388"/>
    <x v="604"/>
    <n v="1726"/>
    <n v="9"/>
    <x v="0"/>
    <x v="10"/>
    <s v="EMI"/>
    <x v="357"/>
    <s v="Kathy Wilson"/>
    <x v="4"/>
    <s v="Dallas"/>
    <n v="2.6326767091541137"/>
  </r>
  <r>
    <x v="388"/>
    <x v="605"/>
    <n v="1738"/>
    <n v="20"/>
    <x v="0"/>
    <x v="10"/>
    <s v="UPI"/>
    <x v="357"/>
    <s v="Kathy Wilson"/>
    <x v="4"/>
    <s v="Dallas"/>
    <n v="3.3947065592635215"/>
  </r>
  <r>
    <x v="389"/>
    <x v="606"/>
    <n v="3381"/>
    <n v="19"/>
    <x v="1"/>
    <x v="6"/>
    <s v="Credit Card"/>
    <x v="416"/>
    <s v="Brandon Le"/>
    <x v="3"/>
    <s v="San Diego"/>
    <n v="2.6208222419402545"/>
  </r>
  <r>
    <x v="390"/>
    <x v="607"/>
    <n v="2052"/>
    <n v="13"/>
    <x v="0"/>
    <x v="10"/>
    <s v="Debit Card"/>
    <x v="487"/>
    <s v="Mary Wright"/>
    <x v="5"/>
    <s v="Cincinnati"/>
    <n v="3.9756335282651074"/>
  </r>
  <r>
    <x v="391"/>
    <x v="608"/>
    <n v="1704"/>
    <n v="14"/>
    <x v="1"/>
    <x v="2"/>
    <s v="UPI"/>
    <x v="488"/>
    <s v="Douglas Reynolds"/>
    <x v="3"/>
    <s v="Los Angeles"/>
    <n v="2.0017605633802815"/>
  </r>
  <r>
    <x v="392"/>
    <x v="609"/>
    <n v="1137"/>
    <n v="16"/>
    <x v="1"/>
    <x v="6"/>
    <s v="UPI"/>
    <x v="489"/>
    <s v="Leroy Harris"/>
    <x v="4"/>
    <s v="Houston"/>
    <n v="8.272647317502198"/>
  </r>
  <r>
    <x v="392"/>
    <x v="610"/>
    <n v="74"/>
    <n v="15"/>
    <x v="0"/>
    <x v="1"/>
    <s v="EMI"/>
    <x v="489"/>
    <s v="Leroy Harris"/>
    <x v="4"/>
    <s v="Houston"/>
    <n v="15.621621621621621"/>
  </r>
  <r>
    <x v="393"/>
    <x v="611"/>
    <n v="743"/>
    <n v="10"/>
    <x v="2"/>
    <x v="11"/>
    <s v="UPI"/>
    <x v="490"/>
    <s v="Ricardo Dixon"/>
    <x v="1"/>
    <s v="Springfield"/>
    <n v="7.2059219380888289"/>
  </r>
  <r>
    <x v="394"/>
    <x v="612"/>
    <n v="3430"/>
    <n v="4"/>
    <x v="0"/>
    <x v="0"/>
    <s v="Credit Card"/>
    <x v="491"/>
    <s v="Debra Smith"/>
    <x v="4"/>
    <s v="Austin"/>
    <n v="2.5597667638483963"/>
  </r>
  <r>
    <x v="394"/>
    <x v="612"/>
    <n v="3430"/>
    <n v="4"/>
    <x v="0"/>
    <x v="0"/>
    <s v="Credit Card"/>
    <x v="492"/>
    <s v="Jasmine James"/>
    <x v="4"/>
    <s v="Austin"/>
    <n v="2.5597667638483963"/>
  </r>
  <r>
    <x v="395"/>
    <x v="613"/>
    <n v="3306"/>
    <n v="8"/>
    <x v="2"/>
    <x v="7"/>
    <s v="Debit Card"/>
    <x v="493"/>
    <s v="Felicia Morton"/>
    <x v="5"/>
    <s v="Columbus"/>
    <n v="2.0517241379310347"/>
  </r>
  <r>
    <x v="396"/>
    <x v="614"/>
    <n v="285"/>
    <n v="4"/>
    <x v="1"/>
    <x v="2"/>
    <s v="Credit Card"/>
    <x v="494"/>
    <s v="Sylvia Jenkins"/>
    <x v="2"/>
    <s v="New York City"/>
    <n v="6.23859649122807"/>
  </r>
  <r>
    <x v="397"/>
    <x v="615"/>
    <n v="1949"/>
    <n v="12"/>
    <x v="0"/>
    <x v="1"/>
    <s v="UPI"/>
    <x v="52"/>
    <s v="Elizabeth White"/>
    <x v="2"/>
    <s v="Rochester"/>
    <n v="4.8224730631092871"/>
  </r>
  <r>
    <x v="397"/>
    <x v="332"/>
    <n v="965"/>
    <n v="4"/>
    <x v="2"/>
    <x v="7"/>
    <s v="Credit Card"/>
    <x v="52"/>
    <s v="Elizabeth White"/>
    <x v="2"/>
    <s v="Rochester"/>
    <n v="8.2455958549222803"/>
  </r>
  <r>
    <x v="398"/>
    <x v="616"/>
    <n v="661"/>
    <n v="13"/>
    <x v="2"/>
    <x v="5"/>
    <s v="EMI"/>
    <x v="495"/>
    <s v="Steven Steele"/>
    <x v="1"/>
    <s v="Springfield"/>
    <n v="2.4780635400907713"/>
  </r>
  <r>
    <x v="399"/>
    <x v="617"/>
    <n v="224"/>
    <n v="4"/>
    <x v="2"/>
    <x v="4"/>
    <s v="COD"/>
    <x v="51"/>
    <s v="Amanda Ramirez"/>
    <x v="4"/>
    <s v="Dallas"/>
    <n v="7.9732142857142856"/>
  </r>
  <r>
    <x v="400"/>
    <x v="618"/>
    <n v="781"/>
    <n v="9"/>
    <x v="1"/>
    <x v="8"/>
    <s v="EMI"/>
    <x v="496"/>
    <s v="Kyle Jackson"/>
    <x v="2"/>
    <s v="Buffalo"/>
    <n v="6.0832266325224076"/>
  </r>
  <r>
    <x v="401"/>
    <x v="619"/>
    <n v="4477"/>
    <n v="4"/>
    <x v="1"/>
    <x v="8"/>
    <s v="Credit Card"/>
    <x v="497"/>
    <s v="Sharon Wilkins"/>
    <x v="1"/>
    <s v="Chicago"/>
    <n v="2.0055840964931875"/>
  </r>
  <r>
    <x v="402"/>
    <x v="522"/>
    <n v="663"/>
    <n v="8"/>
    <x v="0"/>
    <x v="10"/>
    <s v="Credit Card"/>
    <x v="498"/>
    <s v="Austin Hammond"/>
    <x v="0"/>
    <s v="Miami"/>
    <n v="4.113122171945701"/>
  </r>
  <r>
    <x v="403"/>
    <x v="620"/>
    <n v="397"/>
    <n v="17"/>
    <x v="0"/>
    <x v="1"/>
    <s v="Credit Card"/>
    <x v="499"/>
    <s v="Jessica Barajas"/>
    <x v="1"/>
    <s v="Peoria"/>
    <n v="2.7531486146095716"/>
  </r>
  <r>
    <x v="403"/>
    <x v="620"/>
    <n v="397"/>
    <n v="17"/>
    <x v="0"/>
    <x v="1"/>
    <s v="Credit Card"/>
    <x v="500"/>
    <s v="Jamie Jimenez"/>
    <x v="2"/>
    <s v="Buffalo"/>
    <n v="2.7531486146095716"/>
  </r>
  <r>
    <x v="403"/>
    <x v="620"/>
    <n v="397"/>
    <n v="17"/>
    <x v="0"/>
    <x v="1"/>
    <s v="Credit Card"/>
    <x v="501"/>
    <s v="James Carter"/>
    <x v="5"/>
    <s v="Columbus"/>
    <n v="2.7531486146095716"/>
  </r>
  <r>
    <x v="403"/>
    <x v="621"/>
    <n v="88"/>
    <n v="11"/>
    <x v="1"/>
    <x v="8"/>
    <s v="Debit Card"/>
    <x v="499"/>
    <s v="Jessica Barajas"/>
    <x v="1"/>
    <s v="Peoria"/>
    <n v="29.954545454545453"/>
  </r>
  <r>
    <x v="403"/>
    <x v="621"/>
    <n v="88"/>
    <n v="11"/>
    <x v="1"/>
    <x v="8"/>
    <s v="Debit Card"/>
    <x v="500"/>
    <s v="Jamie Jimenez"/>
    <x v="2"/>
    <s v="Buffalo"/>
    <n v="29.954545454545453"/>
  </r>
  <r>
    <x v="403"/>
    <x v="621"/>
    <n v="88"/>
    <n v="11"/>
    <x v="1"/>
    <x v="8"/>
    <s v="Debit Card"/>
    <x v="501"/>
    <s v="James Carter"/>
    <x v="5"/>
    <s v="Columbus"/>
    <n v="29.954545454545453"/>
  </r>
  <r>
    <x v="404"/>
    <x v="276"/>
    <n v="2251"/>
    <n v="7"/>
    <x v="0"/>
    <x v="0"/>
    <s v="Debit Card"/>
    <x v="502"/>
    <s v="John Williams"/>
    <x v="0"/>
    <s v="Miami"/>
    <n v="3.2625499777876499"/>
  </r>
  <r>
    <x v="404"/>
    <x v="622"/>
    <n v="1547"/>
    <n v="3"/>
    <x v="1"/>
    <x v="8"/>
    <s v="COD"/>
    <x v="502"/>
    <s v="John Williams"/>
    <x v="0"/>
    <s v="Miami"/>
    <n v="4.7226890756302522"/>
  </r>
  <r>
    <x v="404"/>
    <x v="623"/>
    <n v="2588"/>
    <n v="10"/>
    <x v="0"/>
    <x v="1"/>
    <s v="COD"/>
    <x v="502"/>
    <s v="John Williams"/>
    <x v="0"/>
    <s v="Miami"/>
    <n v="2.2534775888717156"/>
  </r>
  <r>
    <x v="405"/>
    <x v="624"/>
    <n v="2041"/>
    <n v="8"/>
    <x v="2"/>
    <x v="4"/>
    <s v="EMI"/>
    <x v="416"/>
    <s v="Alicia Oneill"/>
    <x v="1"/>
    <s v="Springfield"/>
    <n v="4.1999020088192065"/>
  </r>
  <r>
    <x v="405"/>
    <x v="624"/>
    <n v="2041"/>
    <n v="8"/>
    <x v="2"/>
    <x v="4"/>
    <s v="EMI"/>
    <x v="503"/>
    <s v="Rebecca Huff"/>
    <x v="1"/>
    <s v="Springfield"/>
    <n v="4.1999020088192065"/>
  </r>
  <r>
    <x v="405"/>
    <x v="624"/>
    <n v="2041"/>
    <n v="8"/>
    <x v="2"/>
    <x v="4"/>
    <s v="EMI"/>
    <x v="504"/>
    <s v="Diana Scott"/>
    <x v="3"/>
    <s v="San Diego"/>
    <n v="4.1999020088192065"/>
  </r>
  <r>
    <x v="405"/>
    <x v="625"/>
    <n v="1834"/>
    <n v="10"/>
    <x v="0"/>
    <x v="1"/>
    <s v="Credit Card"/>
    <x v="416"/>
    <s v="Alicia Oneill"/>
    <x v="1"/>
    <s v="Springfield"/>
    <n v="4.3942202835332607"/>
  </r>
  <r>
    <x v="405"/>
    <x v="625"/>
    <n v="1834"/>
    <n v="10"/>
    <x v="0"/>
    <x v="1"/>
    <s v="Credit Card"/>
    <x v="503"/>
    <s v="Rebecca Huff"/>
    <x v="1"/>
    <s v="Springfield"/>
    <n v="4.3942202835332607"/>
  </r>
  <r>
    <x v="405"/>
    <x v="625"/>
    <n v="1834"/>
    <n v="10"/>
    <x v="0"/>
    <x v="1"/>
    <s v="Credit Card"/>
    <x v="504"/>
    <s v="Diana Scott"/>
    <x v="3"/>
    <s v="San Diego"/>
    <n v="4.3942202835332607"/>
  </r>
  <r>
    <x v="406"/>
    <x v="626"/>
    <n v="436"/>
    <n v="13"/>
    <x v="2"/>
    <x v="7"/>
    <s v="EMI"/>
    <x v="505"/>
    <s v="Brian Young"/>
    <x v="4"/>
    <s v="Austin"/>
    <n v="8.3967889908256872"/>
  </r>
  <r>
    <x v="407"/>
    <x v="627"/>
    <n v="342"/>
    <n v="8"/>
    <x v="1"/>
    <x v="8"/>
    <s v="EMI"/>
    <x v="506"/>
    <s v="Susan Wright"/>
    <x v="3"/>
    <s v="Los Angeles"/>
    <n v="7.166666666666667"/>
  </r>
  <r>
    <x v="407"/>
    <x v="627"/>
    <n v="342"/>
    <n v="8"/>
    <x v="1"/>
    <x v="8"/>
    <s v="EMI"/>
    <x v="50"/>
    <s v="Kayla Banks"/>
    <x v="5"/>
    <s v="Cincinnati"/>
    <n v="7.166666666666667"/>
  </r>
  <r>
    <x v="407"/>
    <x v="627"/>
    <n v="342"/>
    <n v="8"/>
    <x v="1"/>
    <x v="8"/>
    <s v="EMI"/>
    <x v="507"/>
    <s v="Zachary Pierce"/>
    <x v="4"/>
    <s v="Houston"/>
    <n v="7.166666666666667"/>
  </r>
  <r>
    <x v="408"/>
    <x v="628"/>
    <n v="1943"/>
    <n v="16"/>
    <x v="2"/>
    <x v="4"/>
    <s v="Credit Card"/>
    <x v="508"/>
    <s v="Nicolas Owen"/>
    <x v="3"/>
    <s v="San Francisco"/>
    <n v="3.6371590324240866"/>
  </r>
  <r>
    <x v="409"/>
    <x v="629"/>
    <n v="615"/>
    <n v="3"/>
    <x v="0"/>
    <x v="0"/>
    <s v="UPI"/>
    <x v="509"/>
    <s v="Martha Carney"/>
    <x v="2"/>
    <s v="New York City"/>
    <n v="7.0032520325203249"/>
  </r>
  <r>
    <x v="409"/>
    <x v="629"/>
    <n v="615"/>
    <n v="3"/>
    <x v="0"/>
    <x v="0"/>
    <s v="UPI"/>
    <x v="448"/>
    <s v="Francisco Hicks"/>
    <x v="1"/>
    <s v="Springfield"/>
    <n v="7.0032520325203249"/>
  </r>
  <r>
    <x v="409"/>
    <x v="630"/>
    <n v="1134"/>
    <n v="5"/>
    <x v="2"/>
    <x v="5"/>
    <s v="EMI"/>
    <x v="509"/>
    <s v="Martha Carney"/>
    <x v="2"/>
    <s v="New York City"/>
    <n v="5.0211640211640214"/>
  </r>
  <r>
    <x v="409"/>
    <x v="630"/>
    <n v="1134"/>
    <n v="5"/>
    <x v="2"/>
    <x v="5"/>
    <s v="EMI"/>
    <x v="448"/>
    <s v="Francisco Hicks"/>
    <x v="1"/>
    <s v="Springfield"/>
    <n v="5.0211640211640214"/>
  </r>
  <r>
    <x v="410"/>
    <x v="631"/>
    <n v="298"/>
    <n v="18"/>
    <x v="1"/>
    <x v="9"/>
    <s v="Credit Card"/>
    <x v="510"/>
    <s v="Matthew Parker"/>
    <x v="1"/>
    <s v="Springfield"/>
    <n v="3.2281879194630871"/>
  </r>
  <r>
    <x v="411"/>
    <x v="632"/>
    <n v="220"/>
    <n v="14"/>
    <x v="2"/>
    <x v="11"/>
    <s v="Credit Card"/>
    <x v="511"/>
    <s v="Paul Bryant"/>
    <x v="2"/>
    <s v="Buffalo"/>
    <n v="13.613636363636363"/>
  </r>
  <r>
    <x v="411"/>
    <x v="633"/>
    <n v="914"/>
    <n v="5"/>
    <x v="1"/>
    <x v="6"/>
    <s v="Debit Card"/>
    <x v="511"/>
    <s v="Paul Bryant"/>
    <x v="2"/>
    <s v="Buffalo"/>
    <n v="2.2396061269146608"/>
  </r>
  <r>
    <x v="412"/>
    <x v="634"/>
    <n v="612"/>
    <n v="6"/>
    <x v="0"/>
    <x v="3"/>
    <s v="COD"/>
    <x v="512"/>
    <s v="Bruce Dennis"/>
    <x v="4"/>
    <s v="Austin"/>
    <n v="3.3954248366013071"/>
  </r>
  <r>
    <x v="413"/>
    <x v="635"/>
    <n v="1253"/>
    <n v="3"/>
    <x v="0"/>
    <x v="1"/>
    <s v="EMI"/>
    <x v="513"/>
    <s v="Joseph Bates"/>
    <x v="2"/>
    <s v="New York City"/>
    <n v="2.1843575418994412"/>
  </r>
  <r>
    <x v="414"/>
    <x v="636"/>
    <n v="2881"/>
    <n v="6"/>
    <x v="1"/>
    <x v="8"/>
    <s v="Debit Card"/>
    <x v="196"/>
    <s v="Kelly Pacheco"/>
    <x v="4"/>
    <s v="Houston"/>
    <n v="2.844151336341548"/>
  </r>
  <r>
    <x v="415"/>
    <x v="637"/>
    <n v="3858"/>
    <n v="16"/>
    <x v="2"/>
    <x v="7"/>
    <s v="Credit Card"/>
    <x v="514"/>
    <s v="Jeffrey Weber"/>
    <x v="2"/>
    <s v="Buffalo"/>
    <n v="2.5697252462415761"/>
  </r>
  <r>
    <x v="415"/>
    <x v="637"/>
    <n v="3858"/>
    <n v="16"/>
    <x v="2"/>
    <x v="7"/>
    <s v="Credit Card"/>
    <x v="515"/>
    <s v="Andrew Krueger"/>
    <x v="2"/>
    <s v="Rochester"/>
    <n v="2.5697252462415761"/>
  </r>
  <r>
    <x v="415"/>
    <x v="638"/>
    <n v="292"/>
    <n v="7"/>
    <x v="1"/>
    <x v="2"/>
    <s v="Debit Card"/>
    <x v="514"/>
    <s v="Jeffrey Weber"/>
    <x v="2"/>
    <s v="Buffalo"/>
    <n v="18.732876712328768"/>
  </r>
  <r>
    <x v="415"/>
    <x v="638"/>
    <n v="292"/>
    <n v="7"/>
    <x v="1"/>
    <x v="2"/>
    <s v="Debit Card"/>
    <x v="515"/>
    <s v="Andrew Krueger"/>
    <x v="2"/>
    <s v="Rochester"/>
    <n v="18.732876712328768"/>
  </r>
  <r>
    <x v="415"/>
    <x v="639"/>
    <n v="662"/>
    <n v="17"/>
    <x v="2"/>
    <x v="11"/>
    <s v="UPI"/>
    <x v="514"/>
    <s v="Jeffrey Weber"/>
    <x v="2"/>
    <s v="Buffalo"/>
    <n v="2.2598187311178246"/>
  </r>
  <r>
    <x v="415"/>
    <x v="639"/>
    <n v="662"/>
    <n v="17"/>
    <x v="2"/>
    <x v="11"/>
    <s v="UPI"/>
    <x v="515"/>
    <s v="Andrew Krueger"/>
    <x v="2"/>
    <s v="Rochester"/>
    <n v="2.2598187311178246"/>
  </r>
  <r>
    <x v="416"/>
    <x v="640"/>
    <n v="476"/>
    <n v="9"/>
    <x v="1"/>
    <x v="8"/>
    <s v="COD"/>
    <x v="516"/>
    <s v="Kathleen Cox"/>
    <x v="2"/>
    <s v="New York City"/>
    <n v="6.7815126050420167"/>
  </r>
  <r>
    <x v="417"/>
    <x v="641"/>
    <n v="749"/>
    <n v="8"/>
    <x v="0"/>
    <x v="3"/>
    <s v="Credit Card"/>
    <x v="517"/>
    <s v="Jamie Bradley"/>
    <x v="3"/>
    <s v="San Diego"/>
    <n v="5.2309746328437914"/>
  </r>
  <r>
    <x v="417"/>
    <x v="641"/>
    <n v="749"/>
    <n v="8"/>
    <x v="0"/>
    <x v="3"/>
    <s v="Credit Card"/>
    <x v="222"/>
    <s v="Robert Martinez"/>
    <x v="4"/>
    <s v="Houston"/>
    <n v="5.2309746328437914"/>
  </r>
  <r>
    <x v="418"/>
    <x v="642"/>
    <n v="1451"/>
    <n v="15"/>
    <x v="2"/>
    <x v="7"/>
    <s v="EMI"/>
    <x v="518"/>
    <s v="Christopher Rogers"/>
    <x v="1"/>
    <s v="Chicago"/>
    <n v="6.8373535492763615"/>
  </r>
  <r>
    <x v="419"/>
    <x v="643"/>
    <n v="4361"/>
    <n v="1"/>
    <x v="2"/>
    <x v="5"/>
    <s v="EMI"/>
    <x v="519"/>
    <s v="Roberto Parrish"/>
    <x v="1"/>
    <s v="Springfield"/>
    <n v="2.2228846594817702"/>
  </r>
  <r>
    <x v="420"/>
    <x v="644"/>
    <n v="1553"/>
    <n v="13"/>
    <x v="1"/>
    <x v="8"/>
    <s v="EMI"/>
    <x v="8"/>
    <s v="Amber Kennedy"/>
    <x v="0"/>
    <s v="Tampa"/>
    <n v="3.2376046361880233"/>
  </r>
  <r>
    <x v="421"/>
    <x v="645"/>
    <n v="67"/>
    <n v="19"/>
    <x v="1"/>
    <x v="8"/>
    <s v="Debit Card"/>
    <x v="520"/>
    <s v="Maria Davis"/>
    <x v="2"/>
    <s v="Buffalo"/>
    <n v="8.8656716417910442"/>
  </r>
  <r>
    <x v="421"/>
    <x v="645"/>
    <n v="67"/>
    <n v="19"/>
    <x v="1"/>
    <x v="8"/>
    <s v="Debit Card"/>
    <x v="521"/>
    <s v="Terry Gilbert"/>
    <x v="0"/>
    <s v="Miami"/>
    <n v="8.8656716417910442"/>
  </r>
  <r>
    <x v="421"/>
    <x v="645"/>
    <n v="67"/>
    <n v="19"/>
    <x v="1"/>
    <x v="8"/>
    <s v="Debit Card"/>
    <x v="522"/>
    <s v="Devon Schmitt"/>
    <x v="4"/>
    <s v="Austin"/>
    <n v="8.8656716417910442"/>
  </r>
  <r>
    <x v="422"/>
    <x v="646"/>
    <n v="2618"/>
    <n v="11"/>
    <x v="2"/>
    <x v="4"/>
    <s v="COD"/>
    <x v="244"/>
    <s v="Robert Mosley"/>
    <x v="5"/>
    <s v="Cincinnati"/>
    <n v="2.2742551566080977"/>
  </r>
  <r>
    <x v="423"/>
    <x v="647"/>
    <n v="1051"/>
    <n v="3"/>
    <x v="2"/>
    <x v="11"/>
    <s v="UPI"/>
    <x v="523"/>
    <s v="Paul Scott"/>
    <x v="3"/>
    <s v="San Francisco"/>
    <n v="3.3472882968601332"/>
  </r>
  <r>
    <x v="423"/>
    <x v="648"/>
    <n v="1874"/>
    <n v="8"/>
    <x v="0"/>
    <x v="3"/>
    <s v="EMI"/>
    <x v="523"/>
    <s v="Paul Scott"/>
    <x v="3"/>
    <s v="San Francisco"/>
    <n v="2.2182497331910351"/>
  </r>
  <r>
    <x v="424"/>
    <x v="649"/>
    <n v="410"/>
    <n v="5"/>
    <x v="1"/>
    <x v="6"/>
    <s v="Credit Card"/>
    <x v="524"/>
    <s v="Kristin Alvarez"/>
    <x v="1"/>
    <s v="Springfield"/>
    <n v="9.1390243902439021"/>
  </r>
  <r>
    <x v="424"/>
    <x v="649"/>
    <n v="410"/>
    <n v="5"/>
    <x v="1"/>
    <x v="6"/>
    <s v="Credit Card"/>
    <x v="174"/>
    <s v="Kevin Jackson"/>
    <x v="2"/>
    <s v="Buffalo"/>
    <n v="9.1390243902439021"/>
  </r>
  <r>
    <x v="424"/>
    <x v="649"/>
    <n v="410"/>
    <n v="5"/>
    <x v="1"/>
    <x v="6"/>
    <s v="Credit Card"/>
    <x v="499"/>
    <s v="Mrs. Lauren Potter DDS"/>
    <x v="5"/>
    <s v="Columbus"/>
    <n v="9.1390243902439021"/>
  </r>
  <r>
    <x v="424"/>
    <x v="649"/>
    <n v="410"/>
    <n v="5"/>
    <x v="1"/>
    <x v="6"/>
    <s v="Credit Card"/>
    <x v="525"/>
    <s v="Jason Brown"/>
    <x v="1"/>
    <s v="Chicago"/>
    <n v="9.1390243902439021"/>
  </r>
  <r>
    <x v="424"/>
    <x v="649"/>
    <n v="410"/>
    <n v="5"/>
    <x v="1"/>
    <x v="6"/>
    <s v="Credit Card"/>
    <x v="526"/>
    <s v="Jamie Santos"/>
    <x v="3"/>
    <s v="Los Angeles"/>
    <n v="9.1390243902439021"/>
  </r>
  <r>
    <x v="424"/>
    <x v="650"/>
    <n v="534"/>
    <n v="4"/>
    <x v="1"/>
    <x v="9"/>
    <s v="UPI"/>
    <x v="524"/>
    <s v="Kristin Alvarez"/>
    <x v="1"/>
    <s v="Springfield"/>
    <n v="5.9812734082397006"/>
  </r>
  <r>
    <x v="424"/>
    <x v="650"/>
    <n v="534"/>
    <n v="4"/>
    <x v="1"/>
    <x v="9"/>
    <s v="UPI"/>
    <x v="174"/>
    <s v="Kevin Jackson"/>
    <x v="2"/>
    <s v="Buffalo"/>
    <n v="5.9812734082397006"/>
  </r>
  <r>
    <x v="424"/>
    <x v="650"/>
    <n v="534"/>
    <n v="4"/>
    <x v="1"/>
    <x v="9"/>
    <s v="UPI"/>
    <x v="499"/>
    <s v="Mrs. Lauren Potter DDS"/>
    <x v="5"/>
    <s v="Columbus"/>
    <n v="5.9812734082397006"/>
  </r>
  <r>
    <x v="424"/>
    <x v="650"/>
    <n v="534"/>
    <n v="4"/>
    <x v="1"/>
    <x v="9"/>
    <s v="UPI"/>
    <x v="525"/>
    <s v="Jason Brown"/>
    <x v="1"/>
    <s v="Chicago"/>
    <n v="5.9812734082397006"/>
  </r>
  <r>
    <x v="424"/>
    <x v="650"/>
    <n v="534"/>
    <n v="4"/>
    <x v="1"/>
    <x v="9"/>
    <s v="UPI"/>
    <x v="526"/>
    <s v="Jamie Santos"/>
    <x v="3"/>
    <s v="Los Angeles"/>
    <n v="5.9812734082397006"/>
  </r>
  <r>
    <x v="425"/>
    <x v="651"/>
    <n v="2305"/>
    <n v="1"/>
    <x v="1"/>
    <x v="9"/>
    <s v="COD"/>
    <x v="18"/>
    <s v="James Taylor"/>
    <x v="0"/>
    <s v="Tampa"/>
    <n v="3.7084598698481561"/>
  </r>
  <r>
    <x v="426"/>
    <x v="652"/>
    <n v="139"/>
    <n v="19"/>
    <x v="2"/>
    <x v="4"/>
    <s v="Debit Card"/>
    <x v="527"/>
    <s v="Alicia Vincent"/>
    <x v="5"/>
    <s v="Cincinnati"/>
    <n v="43.805755395683455"/>
  </r>
  <r>
    <x v="426"/>
    <x v="652"/>
    <n v="139"/>
    <n v="19"/>
    <x v="2"/>
    <x v="4"/>
    <s v="Debit Card"/>
    <x v="67"/>
    <s v="Kenneth Adams"/>
    <x v="5"/>
    <s v="Cleveland"/>
    <n v="43.805755395683455"/>
  </r>
  <r>
    <x v="426"/>
    <x v="652"/>
    <n v="139"/>
    <n v="19"/>
    <x v="2"/>
    <x v="4"/>
    <s v="Debit Card"/>
    <x v="528"/>
    <s v="Shelby Browning"/>
    <x v="1"/>
    <s v="Chicago"/>
    <n v="43.805755395683455"/>
  </r>
  <r>
    <x v="426"/>
    <x v="653"/>
    <n v="800"/>
    <n v="16"/>
    <x v="2"/>
    <x v="4"/>
    <s v="UPI"/>
    <x v="527"/>
    <s v="Alicia Vincent"/>
    <x v="5"/>
    <s v="Cincinnati"/>
    <n v="3.2324999999999999"/>
  </r>
  <r>
    <x v="426"/>
    <x v="653"/>
    <n v="800"/>
    <n v="16"/>
    <x v="2"/>
    <x v="4"/>
    <s v="UPI"/>
    <x v="67"/>
    <s v="Kenneth Adams"/>
    <x v="5"/>
    <s v="Cleveland"/>
    <n v="3.2324999999999999"/>
  </r>
  <r>
    <x v="426"/>
    <x v="653"/>
    <n v="800"/>
    <n v="16"/>
    <x v="2"/>
    <x v="4"/>
    <s v="UPI"/>
    <x v="528"/>
    <s v="Shelby Browning"/>
    <x v="1"/>
    <s v="Chicago"/>
    <n v="3.2324999999999999"/>
  </r>
  <r>
    <x v="426"/>
    <x v="654"/>
    <n v="1626"/>
    <n v="9"/>
    <x v="1"/>
    <x v="8"/>
    <s v="UPI"/>
    <x v="527"/>
    <s v="Alicia Vincent"/>
    <x v="5"/>
    <s v="Cincinnati"/>
    <n v="2.3105781057810577"/>
  </r>
  <r>
    <x v="426"/>
    <x v="654"/>
    <n v="1626"/>
    <n v="9"/>
    <x v="1"/>
    <x v="8"/>
    <s v="UPI"/>
    <x v="67"/>
    <s v="Kenneth Adams"/>
    <x v="5"/>
    <s v="Cleveland"/>
    <n v="2.3105781057810577"/>
  </r>
  <r>
    <x v="426"/>
    <x v="654"/>
    <n v="1626"/>
    <n v="9"/>
    <x v="1"/>
    <x v="8"/>
    <s v="UPI"/>
    <x v="528"/>
    <s v="Shelby Browning"/>
    <x v="1"/>
    <s v="Chicago"/>
    <n v="2.3105781057810577"/>
  </r>
  <r>
    <x v="427"/>
    <x v="655"/>
    <n v="2530"/>
    <n v="5"/>
    <x v="2"/>
    <x v="7"/>
    <s v="Debit Card"/>
    <x v="472"/>
    <s v="Johnny Hill"/>
    <x v="3"/>
    <s v="San Diego"/>
    <n v="2.0525691699604742"/>
  </r>
  <r>
    <x v="427"/>
    <x v="655"/>
    <n v="2530"/>
    <n v="5"/>
    <x v="2"/>
    <x v="7"/>
    <s v="Debit Card"/>
    <x v="529"/>
    <s v="Nicholas Tucker"/>
    <x v="0"/>
    <s v="Miami"/>
    <n v="2.0525691699604742"/>
  </r>
  <r>
    <x v="428"/>
    <x v="656"/>
    <n v="96"/>
    <n v="3"/>
    <x v="0"/>
    <x v="0"/>
    <s v="UPI"/>
    <x v="530"/>
    <s v="Theresa Cline"/>
    <x v="5"/>
    <s v="Cleveland"/>
    <n v="78.052083333333329"/>
  </r>
  <r>
    <x v="429"/>
    <x v="657"/>
    <n v="848"/>
    <n v="6"/>
    <x v="1"/>
    <x v="6"/>
    <s v="Credit Card"/>
    <x v="531"/>
    <s v="Christine Wheeler"/>
    <x v="0"/>
    <s v="Tampa"/>
    <n v="2.4316037735849059"/>
  </r>
  <r>
    <x v="430"/>
    <x v="658"/>
    <n v="1536"/>
    <n v="1"/>
    <x v="0"/>
    <x v="10"/>
    <s v="EMI"/>
    <x v="384"/>
    <s v="Carlos Wells"/>
    <x v="3"/>
    <s v="San Diego"/>
    <n v="4.663411458333333"/>
  </r>
  <r>
    <x v="431"/>
    <x v="659"/>
    <n v="163"/>
    <n v="6"/>
    <x v="0"/>
    <x v="10"/>
    <s v="COD"/>
    <x v="532"/>
    <s v="Randall Bell"/>
    <x v="2"/>
    <s v="New York City"/>
    <n v="24.699386503067483"/>
  </r>
  <r>
    <x v="432"/>
    <x v="660"/>
    <n v="275"/>
    <n v="5"/>
    <x v="2"/>
    <x v="5"/>
    <s v="Credit Card"/>
    <x v="533"/>
    <s v="Kendra Mckinney"/>
    <x v="0"/>
    <s v="Miami"/>
    <n v="6.8872727272727277"/>
  </r>
  <r>
    <x v="432"/>
    <x v="661"/>
    <n v="192"/>
    <n v="13"/>
    <x v="0"/>
    <x v="0"/>
    <s v="Credit Card"/>
    <x v="533"/>
    <s v="Kendra Mckinney"/>
    <x v="0"/>
    <s v="Miami"/>
    <n v="37.208333333333336"/>
  </r>
  <r>
    <x v="433"/>
    <x v="662"/>
    <n v="1554"/>
    <n v="15"/>
    <x v="0"/>
    <x v="3"/>
    <s v="Debit Card"/>
    <x v="534"/>
    <s v="Amanda Kim"/>
    <x v="5"/>
    <s v="Columbus"/>
    <n v="2.2406692406692406"/>
  </r>
  <r>
    <x v="434"/>
    <x v="663"/>
    <n v="235"/>
    <n v="5"/>
    <x v="1"/>
    <x v="8"/>
    <s v="EMI"/>
    <x v="535"/>
    <s v="Megan Morgan"/>
    <x v="5"/>
    <s v="Cleveland"/>
    <n v="17.753191489361701"/>
  </r>
  <r>
    <x v="434"/>
    <x v="663"/>
    <n v="235"/>
    <n v="5"/>
    <x v="1"/>
    <x v="8"/>
    <s v="EMI"/>
    <x v="536"/>
    <s v="Vincent Kramer"/>
    <x v="0"/>
    <s v="Orlando"/>
    <n v="17.753191489361701"/>
  </r>
  <r>
    <x v="434"/>
    <x v="663"/>
    <n v="235"/>
    <n v="5"/>
    <x v="1"/>
    <x v="8"/>
    <s v="EMI"/>
    <x v="198"/>
    <s v="Raymond Bean"/>
    <x v="1"/>
    <s v="Springfield"/>
    <n v="17.753191489361701"/>
  </r>
  <r>
    <x v="435"/>
    <x v="664"/>
    <n v="155"/>
    <n v="8"/>
    <x v="2"/>
    <x v="7"/>
    <s v="COD"/>
    <x v="157"/>
    <s v="Reginald Hebert"/>
    <x v="5"/>
    <s v="Cincinnati"/>
    <n v="40.41935483870968"/>
  </r>
  <r>
    <x v="435"/>
    <x v="664"/>
    <n v="155"/>
    <n v="8"/>
    <x v="2"/>
    <x v="7"/>
    <s v="COD"/>
    <x v="537"/>
    <s v="Jeremy Vazquez"/>
    <x v="5"/>
    <s v="Cleveland"/>
    <n v="40.41935483870968"/>
  </r>
  <r>
    <x v="436"/>
    <x v="665"/>
    <n v="212"/>
    <n v="7"/>
    <x v="0"/>
    <x v="0"/>
    <s v="Credit Card"/>
    <x v="538"/>
    <s v="Michael Stewart"/>
    <x v="1"/>
    <s v="Peoria"/>
    <n v="13.825471698113208"/>
  </r>
  <r>
    <x v="436"/>
    <x v="665"/>
    <n v="212"/>
    <n v="7"/>
    <x v="0"/>
    <x v="0"/>
    <s v="Credit Card"/>
    <x v="539"/>
    <s v="Kevin Johnson"/>
    <x v="0"/>
    <s v="Tampa"/>
    <n v="13.825471698113208"/>
  </r>
  <r>
    <x v="437"/>
    <x v="666"/>
    <n v="188"/>
    <n v="9"/>
    <x v="2"/>
    <x v="5"/>
    <s v="Debit Card"/>
    <x v="540"/>
    <s v="Tara Hughes"/>
    <x v="0"/>
    <s v="Tampa"/>
    <n v="6.0957446808510642"/>
  </r>
  <r>
    <x v="438"/>
    <x v="667"/>
    <n v="767"/>
    <n v="13"/>
    <x v="0"/>
    <x v="1"/>
    <s v="COD"/>
    <x v="541"/>
    <s v="Sandra Perkins"/>
    <x v="0"/>
    <s v="Tampa"/>
    <n v="12.014341590612776"/>
  </r>
  <r>
    <x v="438"/>
    <x v="667"/>
    <n v="767"/>
    <n v="13"/>
    <x v="0"/>
    <x v="1"/>
    <s v="COD"/>
    <x v="542"/>
    <s v="Heather Bell"/>
    <x v="3"/>
    <s v="San Francisco"/>
    <n v="12.014341590612776"/>
  </r>
  <r>
    <x v="439"/>
    <x v="668"/>
    <n v="1005"/>
    <n v="1"/>
    <x v="2"/>
    <x v="5"/>
    <s v="Credit Card"/>
    <x v="543"/>
    <s v="Nancy Boyd"/>
    <x v="5"/>
    <s v="Cincinnati"/>
    <n v="7.855721393034826"/>
  </r>
  <r>
    <x v="439"/>
    <x v="668"/>
    <n v="1005"/>
    <n v="1"/>
    <x v="2"/>
    <x v="5"/>
    <s v="Credit Card"/>
    <x v="544"/>
    <s v="Raymond Reyes"/>
    <x v="3"/>
    <s v="San Diego"/>
    <n v="7.855721393034826"/>
  </r>
  <r>
    <x v="439"/>
    <x v="669"/>
    <n v="558"/>
    <n v="8"/>
    <x v="1"/>
    <x v="2"/>
    <s v="UPI"/>
    <x v="543"/>
    <s v="Nancy Boyd"/>
    <x v="5"/>
    <s v="Cincinnati"/>
    <n v="4.9103942652329753"/>
  </r>
  <r>
    <x v="439"/>
    <x v="669"/>
    <n v="558"/>
    <n v="8"/>
    <x v="1"/>
    <x v="2"/>
    <s v="UPI"/>
    <x v="544"/>
    <s v="Raymond Reyes"/>
    <x v="3"/>
    <s v="San Diego"/>
    <n v="4.9103942652329753"/>
  </r>
  <r>
    <x v="440"/>
    <x v="670"/>
    <n v="1354"/>
    <n v="16"/>
    <x v="1"/>
    <x v="6"/>
    <s v="UPI"/>
    <x v="545"/>
    <s v="Cassandra Jordan"/>
    <x v="1"/>
    <s v="Peoria"/>
    <n v="3.9423929098966028"/>
  </r>
  <r>
    <x v="440"/>
    <x v="670"/>
    <n v="1354"/>
    <n v="16"/>
    <x v="1"/>
    <x v="6"/>
    <s v="UPI"/>
    <x v="546"/>
    <s v="Evelyn Harris"/>
    <x v="2"/>
    <s v="Buffalo"/>
    <n v="3.9423929098966028"/>
  </r>
  <r>
    <x v="440"/>
    <x v="670"/>
    <n v="1354"/>
    <n v="16"/>
    <x v="1"/>
    <x v="6"/>
    <s v="UPI"/>
    <x v="408"/>
    <s v="Shannon Maynard"/>
    <x v="0"/>
    <s v="Orlando"/>
    <n v="3.9423929098966028"/>
  </r>
  <r>
    <x v="440"/>
    <x v="670"/>
    <n v="1354"/>
    <n v="16"/>
    <x v="1"/>
    <x v="6"/>
    <s v="UPI"/>
    <x v="547"/>
    <s v="Marie James"/>
    <x v="2"/>
    <s v="Buffalo"/>
    <n v="3.9423929098966028"/>
  </r>
  <r>
    <x v="441"/>
    <x v="671"/>
    <n v="941"/>
    <n v="2"/>
    <x v="1"/>
    <x v="2"/>
    <s v="EMI"/>
    <x v="55"/>
    <s v="Maria Carroll"/>
    <x v="5"/>
    <s v="Cleveland"/>
    <n v="3.2890541976620615"/>
  </r>
  <r>
    <x v="441"/>
    <x v="671"/>
    <n v="941"/>
    <n v="2"/>
    <x v="1"/>
    <x v="2"/>
    <s v="EMI"/>
    <x v="98"/>
    <s v="Jessica Sloan"/>
    <x v="4"/>
    <s v="Austin"/>
    <n v="3.2890541976620615"/>
  </r>
  <r>
    <x v="442"/>
    <x v="672"/>
    <n v="2230"/>
    <n v="13"/>
    <x v="0"/>
    <x v="1"/>
    <s v="Debit Card"/>
    <x v="166"/>
    <s v="Scott Craig"/>
    <x v="1"/>
    <s v="Peoria"/>
    <n v="2.6982062780269058"/>
  </r>
  <r>
    <x v="443"/>
    <x v="673"/>
    <n v="469"/>
    <n v="2"/>
    <x v="1"/>
    <x v="2"/>
    <s v="Debit Card"/>
    <x v="395"/>
    <s v="Kaitlin Brown"/>
    <x v="4"/>
    <s v="Dallas"/>
    <n v="10.456289978678038"/>
  </r>
  <r>
    <x v="443"/>
    <x v="674"/>
    <n v="737"/>
    <n v="6"/>
    <x v="1"/>
    <x v="9"/>
    <s v="UPI"/>
    <x v="395"/>
    <s v="Kaitlin Brown"/>
    <x v="4"/>
    <s v="Dallas"/>
    <n v="4.1791044776119399"/>
  </r>
  <r>
    <x v="444"/>
    <x v="675"/>
    <n v="355"/>
    <n v="2"/>
    <x v="0"/>
    <x v="10"/>
    <s v="COD"/>
    <x v="548"/>
    <s v="William Beck"/>
    <x v="0"/>
    <s v="Tampa"/>
    <n v="5.6112676056338024"/>
  </r>
  <r>
    <x v="445"/>
    <x v="676"/>
    <n v="1246"/>
    <n v="17"/>
    <x v="2"/>
    <x v="7"/>
    <s v="EMI"/>
    <x v="549"/>
    <s v="Eric Mason"/>
    <x v="0"/>
    <s v="Orlando"/>
    <n v="4.2905296950240768"/>
  </r>
  <r>
    <x v="445"/>
    <x v="676"/>
    <n v="1246"/>
    <n v="17"/>
    <x v="2"/>
    <x v="7"/>
    <s v="EMI"/>
    <x v="550"/>
    <s v="Lisa Lowe"/>
    <x v="0"/>
    <s v="Miami"/>
    <n v="4.2905296950240768"/>
  </r>
  <r>
    <x v="446"/>
    <x v="677"/>
    <n v="893"/>
    <n v="18"/>
    <x v="0"/>
    <x v="1"/>
    <s v="Debit Card"/>
    <x v="98"/>
    <s v="Roy Miller"/>
    <x v="3"/>
    <s v="San Francisco"/>
    <n v="9.4311310190369539"/>
  </r>
  <r>
    <x v="446"/>
    <x v="677"/>
    <n v="893"/>
    <n v="18"/>
    <x v="0"/>
    <x v="1"/>
    <s v="Debit Card"/>
    <x v="126"/>
    <s v="Christopher Espinoza"/>
    <x v="5"/>
    <s v="Columbus"/>
    <n v="9.4311310190369539"/>
  </r>
  <r>
    <x v="446"/>
    <x v="678"/>
    <n v="1447"/>
    <n v="8"/>
    <x v="2"/>
    <x v="11"/>
    <s v="Credit Card"/>
    <x v="98"/>
    <s v="Roy Miller"/>
    <x v="3"/>
    <s v="San Francisco"/>
    <n v="4.2190739460953699"/>
  </r>
  <r>
    <x v="446"/>
    <x v="678"/>
    <n v="1447"/>
    <n v="8"/>
    <x v="2"/>
    <x v="11"/>
    <s v="Credit Card"/>
    <x v="126"/>
    <s v="Christopher Espinoza"/>
    <x v="5"/>
    <s v="Columbus"/>
    <n v="4.2190739460953699"/>
  </r>
  <r>
    <x v="447"/>
    <x v="679"/>
    <n v="85"/>
    <n v="9"/>
    <x v="1"/>
    <x v="2"/>
    <s v="EMI"/>
    <x v="27"/>
    <s v="Claire Cole"/>
    <x v="4"/>
    <s v="Houston"/>
    <n v="7.882352941176471"/>
  </r>
  <r>
    <x v="448"/>
    <x v="680"/>
    <n v="1012"/>
    <n v="6"/>
    <x v="0"/>
    <x v="3"/>
    <s v="Credit Card"/>
    <x v="551"/>
    <s v="Eric Nunez"/>
    <x v="3"/>
    <s v="San Diego"/>
    <n v="4.0088932806324111"/>
  </r>
  <r>
    <x v="449"/>
    <x v="681"/>
    <n v="2462"/>
    <n v="10"/>
    <x v="1"/>
    <x v="2"/>
    <s v="UPI"/>
    <x v="552"/>
    <s v="David Bell"/>
    <x v="3"/>
    <s v="Los Angeles"/>
    <n v="3.3216896831844029"/>
  </r>
  <r>
    <x v="450"/>
    <x v="682"/>
    <n v="1686"/>
    <n v="9"/>
    <x v="2"/>
    <x v="4"/>
    <s v="Debit Card"/>
    <x v="553"/>
    <s v="Patrick Hensley MD"/>
    <x v="5"/>
    <s v="Cincinnati"/>
    <n v="5.1909845788849349"/>
  </r>
  <r>
    <x v="450"/>
    <x v="682"/>
    <n v="1686"/>
    <n v="9"/>
    <x v="2"/>
    <x v="4"/>
    <s v="Debit Card"/>
    <x v="554"/>
    <s v="John Cox"/>
    <x v="1"/>
    <s v="Peoria"/>
    <n v="5.1909845788849349"/>
  </r>
  <r>
    <x v="450"/>
    <x v="682"/>
    <n v="1686"/>
    <n v="9"/>
    <x v="2"/>
    <x v="4"/>
    <s v="Debit Card"/>
    <x v="555"/>
    <s v="Michelle Sullivan"/>
    <x v="1"/>
    <s v="Chicago"/>
    <n v="5.1909845788849349"/>
  </r>
  <r>
    <x v="451"/>
    <x v="683"/>
    <n v="4441"/>
    <n v="16"/>
    <x v="0"/>
    <x v="1"/>
    <s v="EMI"/>
    <x v="556"/>
    <s v="Angela Todd"/>
    <x v="2"/>
    <s v="New York City"/>
    <n v="2.0207160549425804"/>
  </r>
  <r>
    <x v="452"/>
    <x v="684"/>
    <n v="3098"/>
    <n v="16"/>
    <x v="0"/>
    <x v="10"/>
    <s v="Credit Card"/>
    <x v="557"/>
    <s v="Luke Saunders"/>
    <x v="4"/>
    <s v="Dallas"/>
    <n v="2.9341510652033569"/>
  </r>
  <r>
    <x v="452"/>
    <x v="684"/>
    <n v="3098"/>
    <n v="16"/>
    <x v="0"/>
    <x v="10"/>
    <s v="Credit Card"/>
    <x v="558"/>
    <s v="Dr. Jennifer Benton DVM"/>
    <x v="1"/>
    <s v="Springfield"/>
    <n v="2.9341510652033569"/>
  </r>
  <r>
    <x v="452"/>
    <x v="685"/>
    <n v="356"/>
    <n v="11"/>
    <x v="0"/>
    <x v="0"/>
    <s v="Credit Card"/>
    <x v="557"/>
    <s v="Luke Saunders"/>
    <x v="4"/>
    <s v="Dallas"/>
    <n v="2.3904494382022472"/>
  </r>
  <r>
    <x v="452"/>
    <x v="685"/>
    <n v="356"/>
    <n v="11"/>
    <x v="0"/>
    <x v="0"/>
    <s v="Credit Card"/>
    <x v="558"/>
    <s v="Dr. Jennifer Benton DVM"/>
    <x v="1"/>
    <s v="Springfield"/>
    <n v="2.3904494382022472"/>
  </r>
  <r>
    <x v="453"/>
    <x v="686"/>
    <n v="728"/>
    <n v="3"/>
    <x v="0"/>
    <x v="10"/>
    <s v="UPI"/>
    <x v="559"/>
    <s v="Keith Smith"/>
    <x v="0"/>
    <s v="Miami"/>
    <n v="7.4546703296703294"/>
  </r>
  <r>
    <x v="454"/>
    <x v="687"/>
    <n v="914"/>
    <n v="15"/>
    <x v="2"/>
    <x v="11"/>
    <s v="Debit Card"/>
    <x v="560"/>
    <s v="Danielle Mitchell"/>
    <x v="1"/>
    <s v="Peoria"/>
    <n v="2.948577680525164"/>
  </r>
  <r>
    <x v="454"/>
    <x v="687"/>
    <n v="914"/>
    <n v="15"/>
    <x v="2"/>
    <x v="11"/>
    <s v="Debit Card"/>
    <x v="561"/>
    <s v="Jesus Hernandez"/>
    <x v="3"/>
    <s v="Los Angeles"/>
    <n v="2.948577680525164"/>
  </r>
  <r>
    <x v="455"/>
    <x v="688"/>
    <n v="999"/>
    <n v="3"/>
    <x v="1"/>
    <x v="2"/>
    <s v="COD"/>
    <x v="562"/>
    <s v="Jason Norman"/>
    <x v="0"/>
    <s v="Miami"/>
    <n v="2.3883883883883885"/>
  </r>
  <r>
    <x v="456"/>
    <x v="689"/>
    <n v="149"/>
    <n v="20"/>
    <x v="1"/>
    <x v="2"/>
    <s v="Debit Card"/>
    <x v="563"/>
    <s v="Laura Poole"/>
    <x v="2"/>
    <s v="Rochester"/>
    <n v="15.328859060402685"/>
  </r>
  <r>
    <x v="457"/>
    <x v="690"/>
    <n v="608"/>
    <n v="8"/>
    <x v="0"/>
    <x v="10"/>
    <s v="EMI"/>
    <x v="564"/>
    <s v="Sarah Wagner"/>
    <x v="4"/>
    <s v="Houston"/>
    <n v="9.9243421052631575"/>
  </r>
  <r>
    <x v="457"/>
    <x v="691"/>
    <n v="3359"/>
    <n v="13"/>
    <x v="2"/>
    <x v="11"/>
    <s v="Credit Card"/>
    <x v="564"/>
    <s v="Sarah Wagner"/>
    <x v="4"/>
    <s v="Houston"/>
    <n v="2.6662697231318844"/>
  </r>
  <r>
    <x v="458"/>
    <x v="447"/>
    <n v="1982"/>
    <n v="7"/>
    <x v="1"/>
    <x v="6"/>
    <s v="EMI"/>
    <x v="565"/>
    <s v="Bryan Baird"/>
    <x v="1"/>
    <s v="Peoria"/>
    <n v="3.5933400605449042"/>
  </r>
  <r>
    <x v="459"/>
    <x v="692"/>
    <n v="4507"/>
    <n v="5"/>
    <x v="1"/>
    <x v="6"/>
    <s v="UPI"/>
    <x v="566"/>
    <s v="Amy Thompson"/>
    <x v="5"/>
    <s v="Cincinnati"/>
    <n v="2.1688484579542933"/>
  </r>
  <r>
    <x v="460"/>
    <x v="693"/>
    <n v="177"/>
    <n v="13"/>
    <x v="2"/>
    <x v="11"/>
    <s v="EMI"/>
    <x v="567"/>
    <s v="Ashley Wright"/>
    <x v="5"/>
    <s v="Cleveland"/>
    <n v="18.694915254237287"/>
  </r>
  <r>
    <x v="461"/>
    <x v="694"/>
    <n v="897"/>
    <n v="14"/>
    <x v="0"/>
    <x v="0"/>
    <s v="COD"/>
    <x v="303"/>
    <s v="Michelle Lynch"/>
    <x v="1"/>
    <s v="Springfield"/>
    <n v="4.6410256410256414"/>
  </r>
  <r>
    <x v="461"/>
    <x v="694"/>
    <n v="897"/>
    <n v="14"/>
    <x v="0"/>
    <x v="0"/>
    <s v="COD"/>
    <x v="568"/>
    <s v="Ryan Hale"/>
    <x v="5"/>
    <s v="Cleveland"/>
    <n v="4.6410256410256414"/>
  </r>
  <r>
    <x v="461"/>
    <x v="694"/>
    <n v="897"/>
    <n v="14"/>
    <x v="0"/>
    <x v="0"/>
    <s v="COD"/>
    <x v="569"/>
    <s v="Marie Jefferson"/>
    <x v="0"/>
    <s v="Orlando"/>
    <n v="4.6410256410256414"/>
  </r>
  <r>
    <x v="462"/>
    <x v="695"/>
    <n v="867"/>
    <n v="7"/>
    <x v="2"/>
    <x v="7"/>
    <s v="UPI"/>
    <x v="570"/>
    <s v="Vanessa Smith"/>
    <x v="4"/>
    <s v="Houston"/>
    <n v="6.364475201845444"/>
  </r>
  <r>
    <x v="463"/>
    <x v="696"/>
    <n v="606"/>
    <n v="6"/>
    <x v="0"/>
    <x v="10"/>
    <s v="Debit Card"/>
    <x v="571"/>
    <s v="Ryan Foster"/>
    <x v="5"/>
    <s v="Columbus"/>
    <n v="12.485148514851485"/>
  </r>
  <r>
    <x v="463"/>
    <x v="696"/>
    <n v="606"/>
    <n v="6"/>
    <x v="0"/>
    <x v="10"/>
    <s v="Debit Card"/>
    <x v="572"/>
    <s v="David Lara"/>
    <x v="3"/>
    <s v="San Diego"/>
    <n v="12.485148514851485"/>
  </r>
  <r>
    <x v="464"/>
    <x v="697"/>
    <n v="92"/>
    <n v="11"/>
    <x v="0"/>
    <x v="1"/>
    <s v="COD"/>
    <x v="573"/>
    <s v="Jonathan Young"/>
    <x v="1"/>
    <s v="Springfield"/>
    <n v="8.2826086956521738"/>
  </r>
  <r>
    <x v="465"/>
    <x v="698"/>
    <n v="126"/>
    <n v="6"/>
    <x v="0"/>
    <x v="3"/>
    <s v="COD"/>
    <x v="574"/>
    <s v="Debra Townsend"/>
    <x v="5"/>
    <s v="Cincinnati"/>
    <n v="26.317460317460316"/>
  </r>
  <r>
    <x v="466"/>
    <x v="699"/>
    <n v="2826"/>
    <n v="9"/>
    <x v="2"/>
    <x v="11"/>
    <s v="EMI"/>
    <x v="249"/>
    <s v="John Thomas"/>
    <x v="3"/>
    <s v="San Francisco"/>
    <n v="2.121019108280255"/>
  </r>
  <r>
    <x v="466"/>
    <x v="699"/>
    <n v="2826"/>
    <n v="9"/>
    <x v="2"/>
    <x v="11"/>
    <s v="EMI"/>
    <x v="575"/>
    <s v="Bryan Anderson"/>
    <x v="3"/>
    <s v="Los Angeles"/>
    <n v="2.121019108280255"/>
  </r>
  <r>
    <x v="466"/>
    <x v="699"/>
    <n v="2826"/>
    <n v="9"/>
    <x v="2"/>
    <x v="11"/>
    <s v="EMI"/>
    <x v="147"/>
    <s v="Sarah Miller"/>
    <x v="2"/>
    <s v="New York City"/>
    <n v="2.121019108280255"/>
  </r>
  <r>
    <x v="467"/>
    <x v="700"/>
    <n v="245"/>
    <n v="19"/>
    <x v="0"/>
    <x v="3"/>
    <s v="COD"/>
    <x v="576"/>
    <s v="Robert Hill"/>
    <x v="5"/>
    <s v="Columbus"/>
    <n v="15.730612244897959"/>
  </r>
  <r>
    <x v="468"/>
    <x v="701"/>
    <n v="2677"/>
    <n v="15"/>
    <x v="1"/>
    <x v="6"/>
    <s v="UPI"/>
    <x v="107"/>
    <s v="Joshua Rojas"/>
    <x v="0"/>
    <s v="Miami"/>
    <n v="2.6219648860664924"/>
  </r>
  <r>
    <x v="469"/>
    <x v="646"/>
    <n v="2640"/>
    <n v="14"/>
    <x v="0"/>
    <x v="3"/>
    <s v="Credit Card"/>
    <x v="577"/>
    <s v="Angelica Lewis"/>
    <x v="2"/>
    <s v="New York City"/>
    <n v="2.2553030303030304"/>
  </r>
  <r>
    <x v="469"/>
    <x v="646"/>
    <n v="2640"/>
    <n v="14"/>
    <x v="0"/>
    <x v="3"/>
    <s v="Credit Card"/>
    <x v="402"/>
    <s v="Jessica Russell"/>
    <x v="4"/>
    <s v="Dallas"/>
    <n v="2.2553030303030304"/>
  </r>
  <r>
    <x v="470"/>
    <x v="702"/>
    <n v="3618"/>
    <n v="5"/>
    <x v="2"/>
    <x v="11"/>
    <s v="Debit Card"/>
    <x v="578"/>
    <s v="Mary Johnson"/>
    <x v="2"/>
    <s v="Rochester"/>
    <n v="2.6954118297401881"/>
  </r>
  <r>
    <x v="470"/>
    <x v="702"/>
    <n v="3618"/>
    <n v="5"/>
    <x v="2"/>
    <x v="11"/>
    <s v="Debit Card"/>
    <x v="283"/>
    <s v="Joseph Knight"/>
    <x v="1"/>
    <s v="Peoria"/>
    <n v="2.6954118297401881"/>
  </r>
  <r>
    <x v="471"/>
    <x v="703"/>
    <n v="322"/>
    <n v="15"/>
    <x v="0"/>
    <x v="0"/>
    <s v="COD"/>
    <x v="579"/>
    <s v="Jessica Greene"/>
    <x v="2"/>
    <s v="New York City"/>
    <n v="16.56832298136646"/>
  </r>
  <r>
    <x v="472"/>
    <x v="704"/>
    <n v="80"/>
    <n v="20"/>
    <x v="0"/>
    <x v="0"/>
    <s v="Credit Card"/>
    <x v="580"/>
    <s v="Vincent Perez"/>
    <x v="2"/>
    <s v="Rochester"/>
    <n v="18.175000000000001"/>
  </r>
  <r>
    <x v="473"/>
    <x v="705"/>
    <n v="1539"/>
    <n v="19"/>
    <x v="2"/>
    <x v="11"/>
    <s v="COD"/>
    <x v="581"/>
    <s v="Dennis Rivera"/>
    <x v="3"/>
    <s v="San Francisco"/>
    <n v="4.3690708252111765"/>
  </r>
  <r>
    <x v="473"/>
    <x v="705"/>
    <n v="1539"/>
    <n v="19"/>
    <x v="2"/>
    <x v="11"/>
    <s v="COD"/>
    <x v="582"/>
    <s v="Nancy Keller"/>
    <x v="4"/>
    <s v="Dallas"/>
    <n v="4.3690708252111765"/>
  </r>
  <r>
    <x v="474"/>
    <x v="706"/>
    <n v="3895"/>
    <n v="4"/>
    <x v="1"/>
    <x v="9"/>
    <s v="EMI"/>
    <x v="404"/>
    <s v="Michelle Anderson"/>
    <x v="5"/>
    <s v="Cleveland"/>
    <n v="2.5350449293966624"/>
  </r>
  <r>
    <x v="475"/>
    <x v="707"/>
    <n v="1485"/>
    <n v="7"/>
    <x v="0"/>
    <x v="10"/>
    <s v="UPI"/>
    <x v="583"/>
    <s v="Anthony May"/>
    <x v="0"/>
    <s v="Tampa"/>
    <n v="3.3117845117845119"/>
  </r>
  <r>
    <x v="476"/>
    <x v="708"/>
    <n v="1180"/>
    <n v="19"/>
    <x v="1"/>
    <x v="8"/>
    <s v="Credit Card"/>
    <x v="168"/>
    <s v="Michelle Guerra"/>
    <x v="2"/>
    <s v="New York City"/>
    <n v="2.7025423728813558"/>
  </r>
  <r>
    <x v="477"/>
    <x v="81"/>
    <n v="713"/>
    <n v="2"/>
    <x v="0"/>
    <x v="0"/>
    <s v="UPI"/>
    <x v="208"/>
    <s v="Meghan Ballard"/>
    <x v="2"/>
    <s v="New York City"/>
    <n v="3.7643758765778399"/>
  </r>
  <r>
    <x v="477"/>
    <x v="81"/>
    <n v="713"/>
    <n v="2"/>
    <x v="0"/>
    <x v="0"/>
    <s v="UPI"/>
    <x v="584"/>
    <s v="Brian Wheeler"/>
    <x v="2"/>
    <s v="Buffalo"/>
    <n v="3.7643758765778399"/>
  </r>
  <r>
    <x v="477"/>
    <x v="81"/>
    <n v="713"/>
    <n v="2"/>
    <x v="0"/>
    <x v="0"/>
    <s v="UPI"/>
    <x v="585"/>
    <s v="William Rosario"/>
    <x v="4"/>
    <s v="Dallas"/>
    <n v="3.7643758765778399"/>
  </r>
  <r>
    <x v="478"/>
    <x v="8"/>
    <n v="229"/>
    <n v="5"/>
    <x v="1"/>
    <x v="2"/>
    <s v="EMI"/>
    <x v="350"/>
    <s v="Jessica Hunt"/>
    <x v="1"/>
    <s v="Springfield"/>
    <n v="33.301310043668124"/>
  </r>
  <r>
    <x v="478"/>
    <x v="8"/>
    <n v="229"/>
    <n v="5"/>
    <x v="1"/>
    <x v="2"/>
    <s v="EMI"/>
    <x v="586"/>
    <s v="Tony Chavez"/>
    <x v="5"/>
    <s v="Columbus"/>
    <n v="33.301310043668124"/>
  </r>
  <r>
    <x v="479"/>
    <x v="709"/>
    <n v="3063"/>
    <n v="19"/>
    <x v="0"/>
    <x v="1"/>
    <s v="UPI"/>
    <x v="587"/>
    <s v="Mary Crawford"/>
    <x v="5"/>
    <s v="Cincinnati"/>
    <n v="2.177277179236043"/>
  </r>
  <r>
    <x v="480"/>
    <x v="710"/>
    <n v="1686"/>
    <n v="3"/>
    <x v="1"/>
    <x v="6"/>
    <s v="Credit Card"/>
    <x v="112"/>
    <s v="Roger Morrison"/>
    <x v="5"/>
    <s v="Cincinnati"/>
    <n v="3.6316725978647688"/>
  </r>
  <r>
    <x v="481"/>
    <x v="711"/>
    <n v="1390"/>
    <n v="16"/>
    <x v="1"/>
    <x v="8"/>
    <s v="Credit Card"/>
    <x v="588"/>
    <s v="Bethany Harrison"/>
    <x v="3"/>
    <s v="Los Angeles"/>
    <n v="2.3489208633093526"/>
  </r>
  <r>
    <x v="482"/>
    <x v="712"/>
    <n v="1039"/>
    <n v="6"/>
    <x v="1"/>
    <x v="6"/>
    <s v="COD"/>
    <x v="589"/>
    <s v="Lisa Mcintyre"/>
    <x v="0"/>
    <s v="Orlando"/>
    <n v="7.7998075072184792"/>
  </r>
  <r>
    <x v="482"/>
    <x v="712"/>
    <n v="1039"/>
    <n v="6"/>
    <x v="1"/>
    <x v="6"/>
    <s v="COD"/>
    <x v="590"/>
    <s v="Carolyn Gonzalez"/>
    <x v="0"/>
    <s v="Miami"/>
    <n v="7.7998075072184792"/>
  </r>
  <r>
    <x v="482"/>
    <x v="712"/>
    <n v="1039"/>
    <n v="6"/>
    <x v="1"/>
    <x v="6"/>
    <s v="COD"/>
    <x v="330"/>
    <s v="Christina Oconnell"/>
    <x v="3"/>
    <s v="San Francisco"/>
    <n v="7.7998075072184792"/>
  </r>
  <r>
    <x v="483"/>
    <x v="713"/>
    <n v="355"/>
    <n v="17"/>
    <x v="2"/>
    <x v="4"/>
    <s v="COD"/>
    <x v="591"/>
    <s v="James Garcia"/>
    <x v="2"/>
    <s v="Buffalo"/>
    <n v="2.3859154929577464"/>
  </r>
  <r>
    <x v="483"/>
    <x v="713"/>
    <n v="355"/>
    <n v="17"/>
    <x v="2"/>
    <x v="4"/>
    <s v="COD"/>
    <x v="394"/>
    <s v="Emily Frederick"/>
    <x v="4"/>
    <s v="Austin"/>
    <n v="2.3859154929577464"/>
  </r>
  <r>
    <x v="483"/>
    <x v="713"/>
    <n v="355"/>
    <n v="17"/>
    <x v="2"/>
    <x v="4"/>
    <s v="COD"/>
    <x v="463"/>
    <s v="Shawn Wise"/>
    <x v="3"/>
    <s v="San Francisco"/>
    <n v="2.3859154929577464"/>
  </r>
  <r>
    <x v="484"/>
    <x v="714"/>
    <n v="55"/>
    <n v="9"/>
    <x v="2"/>
    <x v="11"/>
    <s v="Debit Card"/>
    <x v="506"/>
    <s v="Carrie Alvarez"/>
    <x v="1"/>
    <s v="Peoria"/>
    <n v="56.890909090909091"/>
  </r>
  <r>
    <x v="484"/>
    <x v="715"/>
    <n v="3821"/>
    <n v="13"/>
    <x v="0"/>
    <x v="3"/>
    <s v="EMI"/>
    <x v="506"/>
    <s v="Carrie Alvarez"/>
    <x v="1"/>
    <s v="Peoria"/>
    <n v="2.0468463752944257"/>
  </r>
  <r>
    <x v="485"/>
    <x v="716"/>
    <n v="256"/>
    <n v="12"/>
    <x v="0"/>
    <x v="10"/>
    <s v="COD"/>
    <x v="592"/>
    <s v="Matthew James"/>
    <x v="1"/>
    <s v="Peoria"/>
    <n v="37.1015625"/>
  </r>
  <r>
    <x v="485"/>
    <x v="716"/>
    <n v="256"/>
    <n v="12"/>
    <x v="0"/>
    <x v="10"/>
    <s v="COD"/>
    <x v="590"/>
    <s v="Jerry Alvarado"/>
    <x v="2"/>
    <s v="New York City"/>
    <n v="37.1015625"/>
  </r>
  <r>
    <x v="486"/>
    <x v="717"/>
    <n v="1214"/>
    <n v="7"/>
    <x v="2"/>
    <x v="7"/>
    <s v="Credit Card"/>
    <x v="593"/>
    <s v="Paul Zimmerman"/>
    <x v="2"/>
    <s v="Rochester"/>
    <n v="4.4983525535420101"/>
  </r>
  <r>
    <x v="487"/>
    <x v="718"/>
    <n v="611"/>
    <n v="19"/>
    <x v="2"/>
    <x v="11"/>
    <s v="UPI"/>
    <x v="594"/>
    <s v="Carl Ryan"/>
    <x v="4"/>
    <s v="Dallas"/>
    <n v="5.0474631751227497"/>
  </r>
  <r>
    <x v="488"/>
    <x v="719"/>
    <n v="3043"/>
    <n v="1"/>
    <x v="2"/>
    <x v="7"/>
    <s v="COD"/>
    <x v="595"/>
    <s v="Kelly Roberts"/>
    <x v="2"/>
    <s v="Buffalo"/>
    <n v="2.0003286230693393"/>
  </r>
  <r>
    <x v="489"/>
    <x v="720"/>
    <n v="300"/>
    <n v="3"/>
    <x v="2"/>
    <x v="11"/>
    <s v="Credit Card"/>
    <x v="596"/>
    <s v="Jack Woods"/>
    <x v="1"/>
    <s v="Peoria"/>
    <n v="2.0366666666666666"/>
  </r>
  <r>
    <x v="490"/>
    <x v="721"/>
    <n v="2999"/>
    <n v="18"/>
    <x v="1"/>
    <x v="6"/>
    <s v="COD"/>
    <x v="597"/>
    <s v="Albert Alexander Jr."/>
    <x v="5"/>
    <s v="Cleveland"/>
    <n v="3.304101367122374"/>
  </r>
  <r>
    <x v="490"/>
    <x v="721"/>
    <n v="2999"/>
    <n v="18"/>
    <x v="1"/>
    <x v="6"/>
    <s v="COD"/>
    <x v="598"/>
    <s v="Teresa Perez"/>
    <x v="4"/>
    <s v="Austin"/>
    <n v="3.304101367122374"/>
  </r>
  <r>
    <x v="491"/>
    <x v="722"/>
    <n v="3178"/>
    <n v="18"/>
    <x v="2"/>
    <x v="7"/>
    <s v="UPI"/>
    <x v="401"/>
    <s v="Amanda Williams"/>
    <x v="5"/>
    <s v="Columbus"/>
    <n v="2.0405915670232853"/>
  </r>
  <r>
    <x v="492"/>
    <x v="723"/>
    <n v="1969"/>
    <n v="10"/>
    <x v="0"/>
    <x v="3"/>
    <s v="Credit Card"/>
    <x v="174"/>
    <s v="Kristen Lawson"/>
    <x v="1"/>
    <s v="Springfield"/>
    <n v="3.6866429659725748"/>
  </r>
  <r>
    <x v="493"/>
    <x v="724"/>
    <n v="700"/>
    <n v="18"/>
    <x v="0"/>
    <x v="1"/>
    <s v="COD"/>
    <x v="103"/>
    <s v="Jacob Stewart"/>
    <x v="0"/>
    <s v="Miami"/>
    <n v="4.7614285714285716"/>
  </r>
  <r>
    <x v="494"/>
    <x v="725"/>
    <n v="1202"/>
    <n v="4"/>
    <x v="2"/>
    <x v="7"/>
    <s v="EMI"/>
    <x v="219"/>
    <s v="Daniel Brooks"/>
    <x v="1"/>
    <s v="Peoria"/>
    <n v="6.4775374376039929"/>
  </r>
  <r>
    <x v="495"/>
    <x v="726"/>
    <n v="2428"/>
    <n v="6"/>
    <x v="0"/>
    <x v="10"/>
    <s v="Debit Card"/>
    <x v="332"/>
    <s v="Aaron Dunn"/>
    <x v="1"/>
    <s v="Springfield"/>
    <n v="3.1482701812191105"/>
  </r>
  <r>
    <x v="496"/>
    <x v="727"/>
    <n v="247"/>
    <n v="5"/>
    <x v="2"/>
    <x v="11"/>
    <s v="COD"/>
    <x v="599"/>
    <s v="Jacob Martinez"/>
    <x v="3"/>
    <s v="Los Angeles"/>
    <n v="5.9757085020242915"/>
  </r>
  <r>
    <x v="496"/>
    <x v="727"/>
    <n v="247"/>
    <n v="5"/>
    <x v="2"/>
    <x v="11"/>
    <s v="COD"/>
    <x v="600"/>
    <s v="Raymond Burgess"/>
    <x v="3"/>
    <s v="San Diego"/>
    <n v="5.9757085020242915"/>
  </r>
  <r>
    <x v="497"/>
    <x v="728"/>
    <n v="1405"/>
    <n v="16"/>
    <x v="2"/>
    <x v="7"/>
    <s v="EMI"/>
    <x v="487"/>
    <s v="Jennifer Cooke"/>
    <x v="3"/>
    <s v="San Francisco"/>
    <n v="2.4519572953736657"/>
  </r>
  <r>
    <x v="497"/>
    <x v="729"/>
    <n v="384"/>
    <n v="1"/>
    <x v="0"/>
    <x v="3"/>
    <s v="UPI"/>
    <x v="487"/>
    <s v="Jennifer Cooke"/>
    <x v="3"/>
    <s v="San Francisco"/>
    <n v="25.6171875"/>
  </r>
  <r>
    <x v="498"/>
    <x v="222"/>
    <n v="457"/>
    <n v="8"/>
    <x v="2"/>
    <x v="7"/>
    <s v="EMI"/>
    <x v="281"/>
    <s v="Tyrone White"/>
    <x v="3"/>
    <s v="San Diego"/>
    <n v="2.8752735229759301"/>
  </r>
  <r>
    <x v="499"/>
    <x v="730"/>
    <n v="936"/>
    <n v="6"/>
    <x v="0"/>
    <x v="3"/>
    <s v="Debit Card"/>
    <x v="601"/>
    <s v="Charles Williams"/>
    <x v="4"/>
    <s v="Dallas"/>
    <n v="6.357905982905983"/>
  </r>
  <r>
    <x v="499"/>
    <x v="730"/>
    <n v="936"/>
    <n v="6"/>
    <x v="0"/>
    <x v="3"/>
    <s v="Debit Card"/>
    <x v="602"/>
    <s v="Amy Page"/>
    <x v="5"/>
    <s v="Columbus"/>
    <n v="6.357905982905983"/>
  </r>
  <r>
    <x v="500"/>
    <x v="280"/>
    <n v="177"/>
    <n v="6"/>
    <x v="0"/>
    <x v="10"/>
    <s v="UPI"/>
    <x v="603"/>
    <s v="Scott Gibbs"/>
    <x v="3"/>
    <s v="Los Angeles"/>
    <n v="5.6045197740112993"/>
  </r>
  <r>
    <x v="500"/>
    <x v="731"/>
    <n v="625"/>
    <n v="18"/>
    <x v="1"/>
    <x v="6"/>
    <s v="EMI"/>
    <x v="603"/>
    <s v="Scott Gibbs"/>
    <x v="3"/>
    <s v="Los Angeles"/>
    <n v="7.5183999999999997"/>
  </r>
  <r>
    <x v="501"/>
    <x v="732"/>
    <n v="2114"/>
    <n v="17"/>
    <x v="0"/>
    <x v="3"/>
    <s v="EMI"/>
    <x v="113"/>
    <s v="Angela Roberts"/>
    <x v="5"/>
    <s v="Cleveland"/>
    <n v="2.6286660359508041"/>
  </r>
  <r>
    <x v="502"/>
    <x v="733"/>
    <n v="933"/>
    <n v="3"/>
    <x v="0"/>
    <x v="0"/>
    <s v="Credit Card"/>
    <x v="340"/>
    <s v="Kyle Hernandez"/>
    <x v="4"/>
    <s v="Dallas"/>
    <n v="3.682743837084673"/>
  </r>
  <r>
    <x v="503"/>
    <x v="734"/>
    <n v="3870"/>
    <n v="11"/>
    <x v="0"/>
    <x v="1"/>
    <s v="Debit Card"/>
    <x v="604"/>
    <s v="Cynthia Ferguson"/>
    <x v="4"/>
    <s v="Austin"/>
    <n v="2.5426356589147288"/>
  </r>
  <r>
    <x v="504"/>
    <x v="735"/>
    <n v="125"/>
    <n v="4"/>
    <x v="1"/>
    <x v="8"/>
    <s v="EMI"/>
    <x v="605"/>
    <s v="Brandi Garcia"/>
    <x v="3"/>
    <s v="San Francisco"/>
    <n v="60.96"/>
  </r>
  <r>
    <x v="504"/>
    <x v="735"/>
    <n v="125"/>
    <n v="4"/>
    <x v="1"/>
    <x v="8"/>
    <s v="EMI"/>
    <x v="606"/>
    <s v="Matthew Blake"/>
    <x v="3"/>
    <s v="San Francisco"/>
    <n v="60.96"/>
  </r>
  <r>
    <x v="505"/>
    <x v="391"/>
    <n v="1591"/>
    <n v="5"/>
    <x v="2"/>
    <x v="4"/>
    <s v="Debit Card"/>
    <x v="178"/>
    <s v="Lauren Howell"/>
    <x v="2"/>
    <s v="Buffalo"/>
    <n v="2.711502199874293"/>
  </r>
  <r>
    <x v="506"/>
    <x v="529"/>
    <n v="999"/>
    <n v="12"/>
    <x v="0"/>
    <x v="3"/>
    <s v="UPI"/>
    <x v="607"/>
    <s v="Joseph Wilson"/>
    <x v="5"/>
    <s v="Cincinnati"/>
    <n v="8.8598598598598599"/>
  </r>
  <r>
    <x v="507"/>
    <x v="736"/>
    <n v="272"/>
    <n v="2"/>
    <x v="0"/>
    <x v="3"/>
    <s v="Debit Card"/>
    <x v="608"/>
    <s v="Tanner Vance"/>
    <x v="4"/>
    <s v="Houston"/>
    <n v="2"/>
  </r>
  <r>
    <x v="507"/>
    <x v="736"/>
    <n v="272"/>
    <n v="2"/>
    <x v="0"/>
    <x v="3"/>
    <s v="Debit Card"/>
    <x v="474"/>
    <s v="Michael Nash"/>
    <x v="2"/>
    <s v="Buffalo"/>
    <n v="2"/>
  </r>
  <r>
    <x v="508"/>
    <x v="737"/>
    <n v="142"/>
    <n v="20"/>
    <x v="1"/>
    <x v="6"/>
    <s v="EMI"/>
    <x v="609"/>
    <s v="Brent Thomas"/>
    <x v="1"/>
    <s v="Peoria"/>
    <n v="3.7816901408450705"/>
  </r>
  <r>
    <x v="509"/>
    <x v="738"/>
    <n v="2661"/>
    <n v="7"/>
    <x v="0"/>
    <x v="3"/>
    <s v="EMI"/>
    <x v="434"/>
    <s v="Harold Mitchell"/>
    <x v="4"/>
    <s v="Austin"/>
    <n v="2.2337467117624952"/>
  </r>
  <r>
    <x v="510"/>
    <x v="739"/>
    <n v="135"/>
    <n v="18"/>
    <x v="0"/>
    <x v="1"/>
    <s v="Credit Card"/>
    <x v="607"/>
    <s v="Ashley Palmer"/>
    <x v="0"/>
    <s v="Miami"/>
    <n v="16.725925925925925"/>
  </r>
  <r>
    <x v="510"/>
    <x v="739"/>
    <n v="135"/>
    <n v="18"/>
    <x v="0"/>
    <x v="1"/>
    <s v="Credit Card"/>
    <x v="610"/>
    <s v="Stephen Hogan"/>
    <x v="3"/>
    <s v="San Diego"/>
    <n v="16.725925925925925"/>
  </r>
  <r>
    <x v="511"/>
    <x v="740"/>
    <n v="4339"/>
    <n v="3"/>
    <x v="2"/>
    <x v="7"/>
    <s v="Debit Card"/>
    <x v="611"/>
    <s v="George Ashley"/>
    <x v="4"/>
    <s v="Houston"/>
    <n v="2.2145655681032497"/>
  </r>
  <r>
    <x v="511"/>
    <x v="740"/>
    <n v="4339"/>
    <n v="3"/>
    <x v="2"/>
    <x v="7"/>
    <s v="Debit Card"/>
    <x v="612"/>
    <s v="Sara Bailey"/>
    <x v="5"/>
    <s v="Cincinnati"/>
    <n v="2.2145655681032497"/>
  </r>
  <r>
    <x v="512"/>
    <x v="741"/>
    <n v="3301"/>
    <n v="15"/>
    <x v="0"/>
    <x v="0"/>
    <s v="Debit Card"/>
    <x v="362"/>
    <s v="Tanya Thomas MD"/>
    <x v="4"/>
    <s v="Dallas"/>
    <n v="3.014843986670706"/>
  </r>
  <r>
    <x v="513"/>
    <x v="742"/>
    <n v="4585"/>
    <n v="7"/>
    <x v="1"/>
    <x v="8"/>
    <s v="Credit Card"/>
    <x v="443"/>
    <s v="Maria Galvan"/>
    <x v="5"/>
    <s v="Columbus"/>
    <n v="2.1533260632497275"/>
  </r>
  <r>
    <x v="514"/>
    <x v="743"/>
    <n v="1335"/>
    <n v="15"/>
    <x v="0"/>
    <x v="0"/>
    <s v="COD"/>
    <x v="294"/>
    <s v="Duane Kelly"/>
    <x v="2"/>
    <s v="New York City"/>
    <n v="2.6666666666666665"/>
  </r>
  <r>
    <x v="514"/>
    <x v="743"/>
    <n v="1335"/>
    <n v="15"/>
    <x v="0"/>
    <x v="0"/>
    <s v="COD"/>
    <x v="613"/>
    <s v="Frank Reynolds"/>
    <x v="1"/>
    <s v="Springfield"/>
    <n v="2.6666666666666665"/>
  </r>
  <r>
    <x v="515"/>
    <x v="744"/>
    <n v="76"/>
    <n v="9"/>
    <x v="0"/>
    <x v="10"/>
    <s v="Debit Card"/>
    <x v="8"/>
    <s v="Aaron Kim"/>
    <x v="2"/>
    <s v="Buffalo"/>
    <n v="85.89473684210526"/>
  </r>
  <r>
    <x v="515"/>
    <x v="745"/>
    <n v="3374"/>
    <n v="12"/>
    <x v="2"/>
    <x v="7"/>
    <s v="Debit Card"/>
    <x v="8"/>
    <s v="Aaron Kim"/>
    <x v="2"/>
    <s v="Buffalo"/>
    <n v="2.6467101363366923"/>
  </r>
  <r>
    <x v="516"/>
    <x v="746"/>
    <n v="1778"/>
    <n v="9"/>
    <x v="1"/>
    <x v="8"/>
    <s v="Debit Card"/>
    <x v="614"/>
    <s v="David Allen"/>
    <x v="0"/>
    <s v="Tampa"/>
    <n v="2.5427446569178853"/>
  </r>
  <r>
    <x v="517"/>
    <x v="747"/>
    <n v="2317"/>
    <n v="10"/>
    <x v="2"/>
    <x v="7"/>
    <s v="Credit Card"/>
    <x v="615"/>
    <s v="Monica Lee"/>
    <x v="3"/>
    <s v="San Diego"/>
    <n v="3.0604229607250755"/>
  </r>
  <r>
    <x v="518"/>
    <x v="748"/>
    <n v="287"/>
    <n v="8"/>
    <x v="1"/>
    <x v="2"/>
    <s v="COD"/>
    <x v="494"/>
    <s v="Kimberly Fuller"/>
    <x v="5"/>
    <s v="Cleveland"/>
    <n v="7.3205574912891986"/>
  </r>
  <r>
    <x v="518"/>
    <x v="748"/>
    <n v="287"/>
    <n v="8"/>
    <x v="1"/>
    <x v="2"/>
    <s v="COD"/>
    <x v="616"/>
    <s v="Erica Scott"/>
    <x v="1"/>
    <s v="Chicago"/>
    <n v="7.3205574912891986"/>
  </r>
  <r>
    <x v="519"/>
    <x v="749"/>
    <n v="1968"/>
    <n v="9"/>
    <x v="1"/>
    <x v="8"/>
    <s v="Debit Card"/>
    <x v="617"/>
    <s v="Melissa Mitchell"/>
    <x v="1"/>
    <s v="Chicago"/>
    <n v="4.3922764227642279"/>
  </r>
  <r>
    <x v="520"/>
    <x v="750"/>
    <n v="3319"/>
    <n v="4"/>
    <x v="2"/>
    <x v="4"/>
    <s v="UPI"/>
    <x v="618"/>
    <s v="Joshua Murray"/>
    <x v="4"/>
    <s v="Dallas"/>
    <n v="2.0102440494124738"/>
  </r>
  <r>
    <x v="520"/>
    <x v="750"/>
    <n v="3319"/>
    <n v="4"/>
    <x v="2"/>
    <x v="4"/>
    <s v="UPI"/>
    <x v="619"/>
    <s v="John Jones"/>
    <x v="3"/>
    <s v="San Diego"/>
    <n v="2.0102440494124738"/>
  </r>
  <r>
    <x v="521"/>
    <x v="731"/>
    <n v="103"/>
    <n v="12"/>
    <x v="1"/>
    <x v="9"/>
    <s v="UPI"/>
    <x v="594"/>
    <s v="Cheryl Johnson"/>
    <x v="5"/>
    <s v="Cincinnati"/>
    <n v="45.621359223300971"/>
  </r>
  <r>
    <x v="522"/>
    <x v="751"/>
    <n v="1001"/>
    <n v="14"/>
    <x v="2"/>
    <x v="7"/>
    <s v="Debit Card"/>
    <x v="376"/>
    <s v="Lisa Farmer"/>
    <x v="4"/>
    <s v="Houston"/>
    <n v="4.8921078921078918"/>
  </r>
  <r>
    <x v="522"/>
    <x v="751"/>
    <n v="1001"/>
    <n v="14"/>
    <x v="2"/>
    <x v="7"/>
    <s v="Debit Card"/>
    <x v="119"/>
    <s v="Christopher Walker"/>
    <x v="5"/>
    <s v="Cincinnati"/>
    <n v="4.8921078921078918"/>
  </r>
  <r>
    <x v="523"/>
    <x v="752"/>
    <n v="2088"/>
    <n v="14"/>
    <x v="2"/>
    <x v="4"/>
    <s v="Debit Card"/>
    <x v="620"/>
    <s v="Elizabeth Coffey"/>
    <x v="2"/>
    <s v="Buffalo"/>
    <n v="2.6149425287356323"/>
  </r>
  <r>
    <x v="523"/>
    <x v="752"/>
    <n v="2088"/>
    <n v="14"/>
    <x v="2"/>
    <x v="4"/>
    <s v="Debit Card"/>
    <x v="621"/>
    <s v="Joseph Clark"/>
    <x v="5"/>
    <s v="Cincinnati"/>
    <n v="2.6149425287356323"/>
  </r>
  <r>
    <x v="524"/>
    <x v="753"/>
    <n v="1771"/>
    <n v="19"/>
    <x v="1"/>
    <x v="6"/>
    <s v="UPI"/>
    <x v="622"/>
    <s v="Jamie Brewer"/>
    <x v="1"/>
    <s v="Springfield"/>
    <n v="5.2354601919819315"/>
  </r>
  <r>
    <x v="524"/>
    <x v="753"/>
    <n v="1771"/>
    <n v="19"/>
    <x v="1"/>
    <x v="6"/>
    <s v="UPI"/>
    <x v="440"/>
    <s v="Lauren Boyer"/>
    <x v="4"/>
    <s v="Dallas"/>
    <n v="5.2354601919819315"/>
  </r>
  <r>
    <x v="525"/>
    <x v="754"/>
    <n v="1057"/>
    <n v="15"/>
    <x v="1"/>
    <x v="2"/>
    <s v="Credit Card"/>
    <x v="236"/>
    <s v="Howard Esparza"/>
    <x v="4"/>
    <s v="Houston"/>
    <n v="7.4456007568590348"/>
  </r>
  <r>
    <x v="525"/>
    <x v="754"/>
    <n v="1057"/>
    <n v="15"/>
    <x v="1"/>
    <x v="2"/>
    <s v="Credit Card"/>
    <x v="623"/>
    <s v="James Hickman"/>
    <x v="5"/>
    <s v="Cleveland"/>
    <n v="7.4456007568590348"/>
  </r>
  <r>
    <x v="526"/>
    <x v="755"/>
    <n v="893"/>
    <n v="12"/>
    <x v="0"/>
    <x v="3"/>
    <s v="Credit Card"/>
    <x v="511"/>
    <s v="Jennifer Hernandez"/>
    <x v="5"/>
    <s v="Cleveland"/>
    <n v="8.9496080627099666"/>
  </r>
  <r>
    <x v="526"/>
    <x v="755"/>
    <n v="893"/>
    <n v="12"/>
    <x v="0"/>
    <x v="3"/>
    <s v="Credit Card"/>
    <x v="230"/>
    <s v="Shannon Warren"/>
    <x v="2"/>
    <s v="New York City"/>
    <n v="8.9496080627099666"/>
  </r>
  <r>
    <x v="526"/>
    <x v="755"/>
    <n v="893"/>
    <n v="12"/>
    <x v="0"/>
    <x v="3"/>
    <s v="Credit Card"/>
    <x v="624"/>
    <s v="Ashley Aguilar"/>
    <x v="1"/>
    <s v="Chicago"/>
    <n v="8.9496080627099666"/>
  </r>
  <r>
    <x v="527"/>
    <x v="756"/>
    <n v="2189"/>
    <n v="18"/>
    <x v="0"/>
    <x v="0"/>
    <s v="EMI"/>
    <x v="208"/>
    <s v="Daniel Price"/>
    <x v="2"/>
    <s v="New York City"/>
    <n v="2.9689355870260394"/>
  </r>
  <r>
    <x v="527"/>
    <x v="756"/>
    <n v="2189"/>
    <n v="18"/>
    <x v="0"/>
    <x v="0"/>
    <s v="EMI"/>
    <x v="348"/>
    <s v="James Perez"/>
    <x v="0"/>
    <s v="Orlando"/>
    <n v="2.9689355870260394"/>
  </r>
  <r>
    <x v="528"/>
    <x v="757"/>
    <n v="2090"/>
    <n v="9"/>
    <x v="1"/>
    <x v="2"/>
    <s v="Debit Card"/>
    <x v="625"/>
    <s v="Jerry Smith"/>
    <x v="3"/>
    <s v="San Diego"/>
    <n v="4.2334928229665074"/>
  </r>
  <r>
    <x v="529"/>
    <x v="758"/>
    <n v="3634"/>
    <n v="3"/>
    <x v="1"/>
    <x v="6"/>
    <s v="COD"/>
    <x v="626"/>
    <s v="Andre Fernandez"/>
    <x v="0"/>
    <s v="Orlando"/>
    <n v="2.2135388002201433"/>
  </r>
  <r>
    <x v="529"/>
    <x v="758"/>
    <n v="3634"/>
    <n v="3"/>
    <x v="1"/>
    <x v="6"/>
    <s v="COD"/>
    <x v="23"/>
    <s v="Anthony West"/>
    <x v="3"/>
    <s v="San Diego"/>
    <n v="2.2135388002201433"/>
  </r>
  <r>
    <x v="530"/>
    <x v="759"/>
    <n v="1334"/>
    <n v="16"/>
    <x v="2"/>
    <x v="11"/>
    <s v="COD"/>
    <x v="627"/>
    <s v="Amber Flowers"/>
    <x v="0"/>
    <s v="Tampa"/>
    <n v="5.559970014992504"/>
  </r>
  <r>
    <x v="531"/>
    <x v="760"/>
    <n v="658"/>
    <n v="3"/>
    <x v="1"/>
    <x v="6"/>
    <s v="UPI"/>
    <x v="628"/>
    <s v="Patricia Davis"/>
    <x v="1"/>
    <s v="Chicago"/>
    <n v="5.2446808510638299"/>
  </r>
  <r>
    <x v="532"/>
    <x v="761"/>
    <n v="2555"/>
    <n v="4"/>
    <x v="0"/>
    <x v="3"/>
    <s v="EMI"/>
    <x v="629"/>
    <s v="Jasmine Gibbs"/>
    <x v="4"/>
    <s v="Austin"/>
    <n v="3.3389432485322894"/>
  </r>
  <r>
    <x v="533"/>
    <x v="762"/>
    <n v="848"/>
    <n v="15"/>
    <x v="2"/>
    <x v="7"/>
    <s v="Debit Card"/>
    <x v="630"/>
    <s v="Nicole Dudley"/>
    <x v="2"/>
    <s v="New York City"/>
    <n v="7.8372641509433958"/>
  </r>
  <r>
    <x v="533"/>
    <x v="762"/>
    <n v="848"/>
    <n v="15"/>
    <x v="2"/>
    <x v="7"/>
    <s v="Debit Card"/>
    <x v="631"/>
    <s v="Lori Colon"/>
    <x v="2"/>
    <s v="Buffalo"/>
    <n v="7.8372641509433958"/>
  </r>
  <r>
    <x v="534"/>
    <x v="763"/>
    <n v="907"/>
    <n v="6"/>
    <x v="0"/>
    <x v="3"/>
    <s v="Credit Card"/>
    <x v="632"/>
    <s v="William Carr"/>
    <x v="4"/>
    <s v="Dallas"/>
    <n v="2.8147739801543552"/>
  </r>
  <r>
    <x v="535"/>
    <x v="552"/>
    <n v="3485"/>
    <n v="3"/>
    <x v="0"/>
    <x v="10"/>
    <s v="Credit Card"/>
    <x v="150"/>
    <s v="Jeffrey Dixon"/>
    <x v="2"/>
    <s v="New York City"/>
    <n v="2.4361549497847919"/>
  </r>
  <r>
    <x v="536"/>
    <x v="764"/>
    <n v="1330"/>
    <n v="3"/>
    <x v="2"/>
    <x v="4"/>
    <s v="UPI"/>
    <x v="162"/>
    <s v="Robert Sexton"/>
    <x v="3"/>
    <s v="Los Angeles"/>
    <n v="2.0218045112781953"/>
  </r>
  <r>
    <x v="536"/>
    <x v="764"/>
    <n v="1330"/>
    <n v="3"/>
    <x v="2"/>
    <x v="4"/>
    <s v="UPI"/>
    <x v="334"/>
    <s v="Brooke Gonzalez"/>
    <x v="0"/>
    <s v="Miami"/>
    <n v="2.0218045112781953"/>
  </r>
  <r>
    <x v="537"/>
    <x v="765"/>
    <n v="54"/>
    <n v="14"/>
    <x v="2"/>
    <x v="4"/>
    <s v="Debit Card"/>
    <x v="633"/>
    <s v="Victoria Bryant MD"/>
    <x v="3"/>
    <s v="San Francisco"/>
    <n v="15.092592592592593"/>
  </r>
  <r>
    <x v="538"/>
    <x v="352"/>
    <n v="379"/>
    <n v="2"/>
    <x v="1"/>
    <x v="8"/>
    <s v="UPI"/>
    <x v="634"/>
    <s v="Nancy Kennedy"/>
    <x v="4"/>
    <s v="Dallas"/>
    <n v="13.255936675461742"/>
  </r>
  <r>
    <x v="538"/>
    <x v="352"/>
    <n v="379"/>
    <n v="2"/>
    <x v="1"/>
    <x v="8"/>
    <s v="UPI"/>
    <x v="635"/>
    <s v="Andrew Barry"/>
    <x v="1"/>
    <s v="Peoria"/>
    <n v="13.255936675461742"/>
  </r>
  <r>
    <x v="539"/>
    <x v="766"/>
    <n v="2444"/>
    <n v="18"/>
    <x v="0"/>
    <x v="0"/>
    <s v="Debit Card"/>
    <x v="636"/>
    <s v="Carlos Wheeler"/>
    <x v="5"/>
    <s v="Cleveland"/>
    <n v="3.6669394435351883"/>
  </r>
  <r>
    <x v="539"/>
    <x v="766"/>
    <n v="2444"/>
    <n v="18"/>
    <x v="0"/>
    <x v="0"/>
    <s v="Debit Card"/>
    <x v="637"/>
    <s v="Isabella Roach"/>
    <x v="1"/>
    <s v="Peoria"/>
    <n v="3.6669394435351883"/>
  </r>
  <r>
    <x v="540"/>
    <x v="767"/>
    <n v="59"/>
    <n v="12"/>
    <x v="1"/>
    <x v="9"/>
    <s v="UPI"/>
    <x v="638"/>
    <s v="Samantha Williams"/>
    <x v="0"/>
    <s v="Orlando"/>
    <n v="33.237288135593218"/>
  </r>
  <r>
    <x v="541"/>
    <x v="768"/>
    <n v="83"/>
    <n v="4"/>
    <x v="2"/>
    <x v="7"/>
    <s v="Credit Card"/>
    <x v="639"/>
    <s v="Samuel Little MD"/>
    <x v="1"/>
    <s v="Chicago"/>
    <n v="6.3373493975903612"/>
  </r>
  <r>
    <x v="542"/>
    <x v="769"/>
    <n v="3042"/>
    <n v="9"/>
    <x v="2"/>
    <x v="11"/>
    <s v="Debit Card"/>
    <x v="640"/>
    <s v="Paul Taylor"/>
    <x v="3"/>
    <s v="San Francisco"/>
    <n v="2.0029585798816569"/>
  </r>
  <r>
    <x v="542"/>
    <x v="769"/>
    <n v="3042"/>
    <n v="9"/>
    <x v="2"/>
    <x v="11"/>
    <s v="Debit Card"/>
    <x v="641"/>
    <s v="Susan Baker"/>
    <x v="3"/>
    <s v="San Diego"/>
    <n v="2.0029585798816569"/>
  </r>
  <r>
    <x v="543"/>
    <x v="770"/>
    <n v="246"/>
    <n v="5"/>
    <x v="0"/>
    <x v="0"/>
    <s v="Debit Card"/>
    <x v="642"/>
    <s v="Mark Fry"/>
    <x v="4"/>
    <s v="Austin"/>
    <n v="31.296747967479675"/>
  </r>
  <r>
    <x v="544"/>
    <x v="771"/>
    <n v="3594"/>
    <n v="15"/>
    <x v="2"/>
    <x v="4"/>
    <s v="Debit Card"/>
    <x v="643"/>
    <s v="Megan Mclean"/>
    <x v="2"/>
    <s v="New York City"/>
    <n v="2.4554813578185866"/>
  </r>
  <r>
    <x v="545"/>
    <x v="772"/>
    <n v="642"/>
    <n v="8"/>
    <x v="0"/>
    <x v="10"/>
    <s v="EMI"/>
    <x v="644"/>
    <s v="Caitlin Hunt"/>
    <x v="2"/>
    <s v="Rochester"/>
    <n v="3.2429906542056073"/>
  </r>
  <r>
    <x v="545"/>
    <x v="772"/>
    <n v="642"/>
    <n v="8"/>
    <x v="0"/>
    <x v="10"/>
    <s v="EMI"/>
    <x v="645"/>
    <s v="Jenna Holland"/>
    <x v="4"/>
    <s v="Austin"/>
    <n v="3.2429906542056073"/>
  </r>
  <r>
    <x v="545"/>
    <x v="772"/>
    <n v="642"/>
    <n v="8"/>
    <x v="0"/>
    <x v="10"/>
    <s v="EMI"/>
    <x v="646"/>
    <s v="Stephanie Oconnell"/>
    <x v="2"/>
    <s v="Buffalo"/>
    <n v="3.2429906542056073"/>
  </r>
  <r>
    <x v="546"/>
    <x v="156"/>
    <n v="163"/>
    <n v="13"/>
    <x v="1"/>
    <x v="6"/>
    <s v="UPI"/>
    <x v="647"/>
    <s v="Andrea Hill"/>
    <x v="1"/>
    <s v="Chicago"/>
    <n v="5.60736196319018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A3066-9DB8-4C6A-97D3-FBA2526896B0}"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6">
    <pivotField dataField="1" showAll="0"/>
    <pivotField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Count of Order ID" fld="0" subtotal="count" baseField="0" baseItem="0" numFmtId="1"/>
  </dataFields>
  <formats count="4">
    <format dxfId="459">
      <pivotArea outline="0" collapsedLevelsAreSubtotals="1" fieldPosition="0"/>
    </format>
    <format dxfId="458">
      <pivotArea type="all" dataOnly="0" outline="0" fieldPosition="0"/>
    </format>
    <format dxfId="457">
      <pivotArea outline="0" collapsedLevelsAreSubtotals="1" fieldPosition="0"/>
    </format>
    <format dxfId="4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1AF4DF-D76E-4FE6-B8E6-0A1EA6216F4B}"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6">
    <pivotField showAll="0"/>
    <pivotField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dataField="1"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Sum of Profit" fld="2" baseField="0" baseItem="0"/>
  </dataFields>
  <formats count="4">
    <format dxfId="463">
      <pivotArea outline="0" collapsedLevelsAreSubtotals="1" fieldPosition="0"/>
    </format>
    <format dxfId="462">
      <pivotArea type="all" dataOnly="0" outline="0" fieldPosition="0"/>
    </format>
    <format dxfId="461">
      <pivotArea outline="0" collapsedLevelsAreSubtotals="1" fieldPosition="0"/>
    </format>
    <format dxfId="4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C3402-724B-4892-85C8-1EEC9E2CB6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O3:P7" firstHeaderRow="1" firstDataRow="1" firstDataCol="1"/>
  <pivotFields count="16">
    <pivotField showAll="0"/>
    <pivotField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dataField="1" showAll="0"/>
    <pivotField showAll="0"/>
    <pivotField axis="axisRow" showAll="0">
      <items count="4">
        <item x="0"/>
        <item x="2"/>
        <item x="1"/>
        <item t="default"/>
      </items>
    </pivotField>
    <pivotField showAll="0">
      <items count="13">
        <item x="9"/>
        <item x="11"/>
        <item x="5"/>
        <item x="0"/>
        <item x="3"/>
        <item x="6"/>
        <item x="8"/>
        <item x="2"/>
        <item x="10"/>
        <item x="1"/>
        <item x="7"/>
        <item x="4"/>
        <item t="default"/>
      </items>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s>
  <rowFields count="1">
    <field x="4"/>
  </rowFields>
  <rowItems count="4">
    <i>
      <x/>
    </i>
    <i>
      <x v="1"/>
    </i>
    <i>
      <x v="2"/>
    </i>
    <i t="grand">
      <x/>
    </i>
  </rowItems>
  <colItems count="1">
    <i/>
  </colItems>
  <dataFields count="1">
    <dataField name="Sum of Profit" fld="2" baseField="0" baseItem="0"/>
  </dataFields>
  <formats count="4">
    <format dxfId="467">
      <pivotArea outline="0" collapsedLevelsAreSubtotals="1" fieldPosition="0"/>
    </format>
    <format dxfId="466">
      <pivotArea type="all" dataOnly="0" outline="0" fieldPosition="0"/>
    </format>
    <format dxfId="465">
      <pivotArea outline="0" collapsedLevelsAreSubtotals="1" fieldPosition="0"/>
    </format>
    <format dxfId="464">
      <pivotArea dataOnly="0" labelOnly="1" outline="0" axis="axisValues" fieldPosition="0"/>
    </format>
  </formats>
  <chartFormats count="4">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4" count="1" selected="0">
            <x v="2"/>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6FE7B2-AE46-4784-AED4-6EB9066F02A1}"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dataField="1"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Sum of Revenue" fld="1" baseField="0" baseItem="0" numFmtId="44"/>
  </dataFields>
  <formats count="4">
    <format dxfId="471">
      <pivotArea outline="0" collapsedLevelsAreSubtotals="1" fieldPosition="0"/>
    </format>
    <format dxfId="470">
      <pivotArea type="all" dataOnly="0" outline="0" fieldPosition="0"/>
    </format>
    <format dxfId="469">
      <pivotArea outline="0" collapsedLevelsAreSubtotals="1" fieldPosition="0"/>
    </format>
    <format dxfId="4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99EE00-4562-4CEA-847B-27073EF10F3F}"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2:F19" firstHeaderRow="1" firstDataRow="1" firstDataCol="1"/>
  <pivotFields count="16">
    <pivotField showAll="0"/>
    <pivotField dataField="1"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 dragToRow="0" dragToCol="0" dragToPage="0" showAll="0" defaultSubtotal="0"/>
  </pivotFields>
  <rowFields count="1">
    <field x="14"/>
  </rowFields>
  <rowItems count="7">
    <i>
      <x v="1"/>
    </i>
    <i>
      <x v="2"/>
    </i>
    <i>
      <x v="3"/>
    </i>
    <i>
      <x v="4"/>
    </i>
    <i>
      <x v="5"/>
    </i>
    <i>
      <x v="6"/>
    </i>
    <i t="grand">
      <x/>
    </i>
  </rowItems>
  <colItems count="1">
    <i/>
  </colItems>
  <dataFields count="1">
    <dataField name="Sum of Revenue" fld="1" baseField="0" baseItem="0" numFmtId="44"/>
  </dataFields>
  <formats count="4">
    <format dxfId="475">
      <pivotArea outline="0" collapsedLevelsAreSubtotals="1" fieldPosition="0"/>
    </format>
    <format dxfId="474">
      <pivotArea type="all" dataOnly="0" outline="0" fieldPosition="0"/>
    </format>
    <format dxfId="473">
      <pivotArea outline="0" collapsedLevelsAreSubtotals="1" fieldPosition="0"/>
    </format>
    <format dxfId="4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233EB0-AC9C-4289-A4AC-6CDE4164A46B}"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I10" firstHeaderRow="0" firstDataRow="1" firstDataCol="1"/>
  <pivotFields count="16">
    <pivotField showAll="0"/>
    <pivotField dataField="1"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dataField="1"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items count="7">
        <item x="3"/>
        <item x="0"/>
        <item x="1"/>
        <item x="2"/>
        <item x="5"/>
        <item x="4"/>
        <item t="default"/>
      </items>
    </pivotField>
    <pivotField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ataField="1" dragToRow="0" dragToCol="0" dragToPage="0" showAll="0" defaultSubtotal="0"/>
  </pivotFields>
  <rowFields count="1">
    <field x="9"/>
  </rowFields>
  <rowItems count="7">
    <i>
      <x/>
    </i>
    <i>
      <x v="1"/>
    </i>
    <i>
      <x v="2"/>
    </i>
    <i>
      <x v="3"/>
    </i>
    <i>
      <x v="4"/>
    </i>
    <i>
      <x v="5"/>
    </i>
    <i t="grand">
      <x/>
    </i>
  </rowItems>
  <colFields count="1">
    <field x="-2"/>
  </colFields>
  <colItems count="4">
    <i>
      <x/>
    </i>
    <i i="1">
      <x v="1"/>
    </i>
    <i i="2">
      <x v="2"/>
    </i>
    <i i="3">
      <x v="3"/>
    </i>
  </colItems>
  <dataFields count="4">
    <dataField name="Sum of Revenue" fld="1" baseField="0" baseItem="0" numFmtId="44"/>
    <dataField name="Sum of Profit" fld="2" baseField="0" baseItem="0"/>
    <dataField name="Average of Profit Margin %" fld="11" subtotal="average" baseField="9" baseItem="0" numFmtId="164"/>
    <dataField name="Sum of Revenue + Profit" fld="15" baseField="0" baseItem="0"/>
  </dataFields>
  <formats count="4">
    <format dxfId="479">
      <pivotArea outline="0" collapsedLevelsAreSubtotals="1" fieldPosition="0"/>
    </format>
    <format dxfId="478">
      <pivotArea type="all" dataOnly="0" outline="0" fieldPosition="0"/>
    </format>
    <format dxfId="477">
      <pivotArea outline="0" collapsedLevelsAreSubtotals="1" fieldPosition="0"/>
    </format>
    <format dxfId="4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46E1C8-1A57-460B-AB50-8487F53976A4}"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M16" firstHeaderRow="1" firstDataRow="1" firstDataCol="1"/>
  <pivotFields count="16">
    <pivotField showAll="0"/>
    <pivotField dataField="1"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 dragToRow="0" dragToCol="0" dragToPage="0" showAll="0" defaultSubtotal="0"/>
  </pivotFields>
  <rowFields count="1">
    <field x="12"/>
  </rowFields>
  <rowItems count="13">
    <i>
      <x v="1"/>
    </i>
    <i>
      <x v="2"/>
    </i>
    <i>
      <x v="3"/>
    </i>
    <i>
      <x v="4"/>
    </i>
    <i>
      <x v="5"/>
    </i>
    <i>
      <x v="6"/>
    </i>
    <i>
      <x v="7"/>
    </i>
    <i>
      <x v="8"/>
    </i>
    <i>
      <x v="9"/>
    </i>
    <i>
      <x v="10"/>
    </i>
    <i>
      <x v="11"/>
    </i>
    <i>
      <x v="12"/>
    </i>
    <i t="grand">
      <x/>
    </i>
  </rowItems>
  <colItems count="1">
    <i/>
  </colItems>
  <dataFields count="1">
    <dataField name="Sum of Revenue" fld="1" baseField="0" baseItem="0"/>
  </dataFields>
  <formats count="4">
    <format dxfId="483">
      <pivotArea outline="0" collapsedLevelsAreSubtotals="1" fieldPosition="0"/>
    </format>
    <format dxfId="482">
      <pivotArea type="all" dataOnly="0" outline="0" fieldPosition="0"/>
    </format>
    <format dxfId="481">
      <pivotArea outline="0" collapsedLevelsAreSubtotals="1" fieldPosition="0"/>
    </format>
    <format dxfId="4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F8BF64-C300-4B66-AC29-6C19D80DDAD6}"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6">
    <pivotField showAll="0"/>
    <pivotField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dragToRow="0" dragToCol="0" dragToPage="0" showAll="0" defaultSubtotal="0"/>
  </pivotFields>
  <rowItems count="1">
    <i/>
  </rowItems>
  <colItems count="1">
    <i/>
  </colItems>
  <dataFields count="1">
    <dataField name="Average of Profit Margin %" fld="11" subtotal="average" baseField="0" baseItem="0" numFmtId="2"/>
  </dataFields>
  <formats count="4">
    <format dxfId="487">
      <pivotArea outline="0" collapsedLevelsAreSubtotals="1" fieldPosition="0"/>
    </format>
    <format dxfId="486">
      <pivotArea type="all" dataOnly="0" outline="0" fieldPosition="0"/>
    </format>
    <format dxfId="485">
      <pivotArea outline="0" collapsedLevelsAreSubtotals="1" fieldPosition="0"/>
    </format>
    <format dxfId="4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F6EE2E8-3BA4-404E-8753-FA6159C0EC03}" sourceName="Years (Order Date)">
  <pivotTables>
    <pivotTable tabId="5" name="PivotTable39"/>
    <pivotTable tabId="5" name="PivotTable33"/>
    <pivotTable tabId="5" name="PivotTable34"/>
    <pivotTable tabId="5" name="PivotTable35"/>
    <pivotTable tabId="5" name="PivotTable36"/>
    <pivotTable tabId="5" name="PivotTable37"/>
    <pivotTable tabId="5" name="PivotTable40"/>
    <pivotTable tabId="5" name="PivotTable1"/>
  </pivotTables>
  <data>
    <tabular pivotCacheId="1099858163">
      <items count="8">
        <i x="1" s="1"/>
        <i x="2" s="1"/>
        <i x="3" s="1"/>
        <i x="4" s="1"/>
        <i x="5" s="1"/>
        <i x="6" s="1"/>
        <i x="0" s="1" nd="1"/>
        <i x="7"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EE396C8-402B-43F7-A97A-F9446111A58A}" sourceName="Months (Order Date)">
  <pivotTables>
    <pivotTable tabId="5" name="PivotTable40"/>
    <pivotTable tabId="5" name="PivotTable33"/>
    <pivotTable tabId="5" name="PivotTable34"/>
    <pivotTable tabId="5" name="PivotTable35"/>
    <pivotTable tabId="5" name="PivotTable36"/>
    <pivotTable tabId="5" name="PivotTable37"/>
    <pivotTable tabId="5" name="PivotTable39"/>
    <pivotTable tabId="5" name="PivotTable1"/>
  </pivotTables>
  <data>
    <tabular pivotCacheId="109985816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E675A7F-5E16-4C8F-8505-69FBCBBFE62B}" sourceName="State">
  <pivotTables>
    <pivotTable tabId="5" name="PivotTable37"/>
    <pivotTable tabId="5" name="PivotTable1"/>
  </pivotTables>
  <data>
    <tabular pivotCacheId="1099858163">
      <items count="6">
        <i x="3" s="1"/>
        <i x="0" s="1"/>
        <i x="1"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1CFB1E26-643D-4055-8088-26781F7C98DF}" cache="Slicer_Years__Order_Date" caption="Year" columnCount="3" style="SlicerStyleDark1 3 2" rowHeight="504000"/>
  <slicer name="Months (Order Date)" xr10:uid="{562178EF-90F6-4C2E-8E4D-2B5F680171C8}" cache="Slicer_Months__Order_Date" caption="Month" columnCount="2" style="SlicerStyleDark1 3 2" rowHeight="360000"/>
  <slicer name="State" xr10:uid="{C60A2037-91B3-44D9-8B91-DB18F71CA58F}" cache="Slicer_State" caption="State" style="SlicerStyleDark1 3 2" rowHeight="3111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105070-3E55-4A07-B85D-EC548B67CBE5}" name="Sales_Table" displayName="Sales_Table" ref="A1:L1196" totalsRowCount="1" headerRowDxfId="490">
  <autoFilter ref="A1:L1195" xr:uid="{99105070-3E55-4A07-B85D-EC548B67CBE5}"/>
  <tableColumns count="12">
    <tableColumn id="1" xr3:uid="{8B755446-9692-4EB8-981C-0784FCAAA325}" name="Order ID" totalsRowFunction="count"/>
    <tableColumn id="2" xr3:uid="{998AB683-4CDF-47AD-9412-F53C7B1DCB1B}" name="Revenue" totalsRowFunction="sum"/>
    <tableColumn id="3" xr3:uid="{F2D9A06F-9E87-4505-AC84-81510C91EAFC}" name="Profit" totalsRowFunction="sum"/>
    <tableColumn id="4" xr3:uid="{889E2B61-5BA8-479E-9558-30653015B4A9}" name="Quantity" totalsRowFunction="sum"/>
    <tableColumn id="5" xr3:uid="{FD2135D5-A4ED-474B-80B4-3346BB343433}" name="Category"/>
    <tableColumn id="6" xr3:uid="{B58FE141-A8B3-4607-A0A8-C1221E064D53}" name="Products"/>
    <tableColumn id="7" xr3:uid="{956F020C-0E2C-4C60-8E14-17A277062623}" name="PaymentMode"/>
    <tableColumn id="8" xr3:uid="{B31D7884-F244-4ACA-A13B-490945F5E581}" name="Order Date" dataDxfId="489"/>
    <tableColumn id="9" xr3:uid="{AAC8FA00-1BCC-440C-AE5D-DCC389C192F6}" name="CustomerName"/>
    <tableColumn id="10" xr3:uid="{CC55D181-C2A0-420D-A4AE-ADF04CF15C7A}" name="State"/>
    <tableColumn id="11" xr3:uid="{5A893539-0F05-4E5F-B716-AD5AD3861D1D}" name="City"/>
    <tableColumn id="13" xr3:uid="{0D4BC253-623C-44EA-8863-6A39E6BBB730}" name="Profit Margin %" totalsRowFunction="average" dataDxfId="488">
      <calculatedColumnFormula>IF(Sales_Table[[#This Row],[Revenue]]=0,0,Sales_Table[[#This Row],[Revenue]]/Sales_Table[[#This Row],[Profit]])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9C68-EFC5-4E71-AECE-B539F800B259}">
  <dimension ref="A1:S1196"/>
  <sheetViews>
    <sheetView workbookViewId="0">
      <selection activeCell="C11" sqref="C11"/>
    </sheetView>
  </sheetViews>
  <sheetFormatPr defaultColWidth="9.5546875" defaultRowHeight="18" x14ac:dyDescent="0.5"/>
  <cols>
    <col min="1" max="1" width="12.33203125" customWidth="1"/>
    <col min="2" max="2" width="11.88671875" customWidth="1"/>
    <col min="3" max="3" width="10" customWidth="1"/>
    <col min="4" max="4" width="12.5546875" customWidth="1"/>
    <col min="5" max="5" width="13.109375" customWidth="1"/>
    <col min="6" max="6" width="16.6640625" customWidth="1"/>
    <col min="7" max="7" width="17.33203125" customWidth="1"/>
    <col min="8" max="8" width="14.44140625" customWidth="1"/>
    <col min="9" max="9" width="21" customWidth="1"/>
    <col min="10" max="10" width="9.88671875" customWidth="1"/>
    <col min="11" max="11" width="12.33203125" customWidth="1"/>
    <col min="12" max="12" width="17.88671875" customWidth="1"/>
    <col min="18" max="18" width="6.33203125" customWidth="1"/>
    <col min="19" max="19" width="4.6640625" customWidth="1"/>
  </cols>
  <sheetData>
    <row r="1" spans="1:19" x14ac:dyDescent="0.5">
      <c r="A1" s="2" t="s">
        <v>0</v>
      </c>
      <c r="B1" s="2" t="s">
        <v>1402</v>
      </c>
      <c r="C1" s="2" t="s">
        <v>1</v>
      </c>
      <c r="D1" s="2" t="s">
        <v>2</v>
      </c>
      <c r="E1" s="2" t="s">
        <v>3</v>
      </c>
      <c r="F1" s="2" t="s">
        <v>1403</v>
      </c>
      <c r="G1" s="2" t="s">
        <v>4</v>
      </c>
      <c r="H1" s="2" t="s">
        <v>5</v>
      </c>
      <c r="I1" s="2" t="s">
        <v>6</v>
      </c>
      <c r="J1" s="2" t="s">
        <v>7</v>
      </c>
      <c r="K1" s="2" t="s">
        <v>8</v>
      </c>
      <c r="L1" s="2" t="s">
        <v>1408</v>
      </c>
    </row>
    <row r="2" spans="1:19" x14ac:dyDescent="0.5">
      <c r="A2" t="s">
        <v>9</v>
      </c>
      <c r="B2">
        <v>9726</v>
      </c>
      <c r="C2">
        <v>1275</v>
      </c>
      <c r="D2">
        <v>5</v>
      </c>
      <c r="E2" t="s">
        <v>10</v>
      </c>
      <c r="F2" t="s">
        <v>11</v>
      </c>
      <c r="G2" t="s">
        <v>12</v>
      </c>
      <c r="H2" s="1">
        <v>45104</v>
      </c>
      <c r="I2" t="s">
        <v>13</v>
      </c>
      <c r="J2" t="s">
        <v>14</v>
      </c>
      <c r="K2" t="s">
        <v>15</v>
      </c>
      <c r="L2" s="3">
        <f>IF(Sales_Table[[#This Row],[Revenue]]=0,0,Sales_Table[[#This Row],[Revenue]]/Sales_Table[[#This Row],[Profit]])</f>
        <v>7.6282352941176468</v>
      </c>
    </row>
    <row r="3" spans="1:19" x14ac:dyDescent="0.5">
      <c r="A3" t="s">
        <v>9</v>
      </c>
      <c r="B3">
        <v>9726</v>
      </c>
      <c r="C3">
        <v>1275</v>
      </c>
      <c r="D3">
        <v>5</v>
      </c>
      <c r="E3" t="s">
        <v>10</v>
      </c>
      <c r="F3" t="s">
        <v>11</v>
      </c>
      <c r="G3" t="s">
        <v>12</v>
      </c>
      <c r="H3" s="1">
        <v>45653</v>
      </c>
      <c r="I3" t="s">
        <v>16</v>
      </c>
      <c r="J3" t="s">
        <v>17</v>
      </c>
      <c r="K3" t="s">
        <v>18</v>
      </c>
      <c r="L3" s="3">
        <f>IF(Sales_Table[[#This Row],[Revenue]]=0,0,Sales_Table[[#This Row],[Revenue]]/Sales_Table[[#This Row],[Profit]])</f>
        <v>7.6282352941176468</v>
      </c>
    </row>
    <row r="4" spans="1:19" x14ac:dyDescent="0.5">
      <c r="A4" t="s">
        <v>9</v>
      </c>
      <c r="B4">
        <v>9726</v>
      </c>
      <c r="C4">
        <v>1275</v>
      </c>
      <c r="D4">
        <v>5</v>
      </c>
      <c r="E4" t="s">
        <v>10</v>
      </c>
      <c r="F4" t="s">
        <v>11</v>
      </c>
      <c r="G4" t="s">
        <v>12</v>
      </c>
      <c r="H4" s="1">
        <v>44402</v>
      </c>
      <c r="I4" t="s">
        <v>19</v>
      </c>
      <c r="J4" t="s">
        <v>20</v>
      </c>
      <c r="K4" t="s">
        <v>21</v>
      </c>
      <c r="L4" s="3">
        <f>IF(Sales_Table[[#This Row],[Revenue]]=0,0,Sales_Table[[#This Row],[Revenue]]/Sales_Table[[#This Row],[Profit]])</f>
        <v>7.6282352941176468</v>
      </c>
      <c r="R4" t="s">
        <v>1404</v>
      </c>
      <c r="S4">
        <f>COUNTBLANK(Sales_Table[#All])</f>
        <v>7</v>
      </c>
    </row>
    <row r="5" spans="1:19" x14ac:dyDescent="0.5">
      <c r="A5" t="s">
        <v>9</v>
      </c>
      <c r="B5">
        <v>4975</v>
      </c>
      <c r="C5">
        <v>1330</v>
      </c>
      <c r="D5">
        <v>14</v>
      </c>
      <c r="E5" t="s">
        <v>10</v>
      </c>
      <c r="F5" t="s">
        <v>22</v>
      </c>
      <c r="G5" t="s">
        <v>12</v>
      </c>
      <c r="H5" s="1">
        <v>45104</v>
      </c>
      <c r="I5" t="s">
        <v>13</v>
      </c>
      <c r="J5" t="s">
        <v>14</v>
      </c>
      <c r="K5" t="s">
        <v>15</v>
      </c>
      <c r="L5" s="3">
        <f>IF(Sales_Table[[#This Row],[Revenue]]=0,0,Sales_Table[[#This Row],[Revenue]]/Sales_Table[[#This Row],[Profit]])</f>
        <v>3.7406015037593985</v>
      </c>
    </row>
    <row r="6" spans="1:19" x14ac:dyDescent="0.5">
      <c r="A6" t="s">
        <v>9</v>
      </c>
      <c r="B6">
        <v>4975</v>
      </c>
      <c r="C6">
        <v>1330</v>
      </c>
      <c r="D6">
        <v>14</v>
      </c>
      <c r="E6" t="s">
        <v>10</v>
      </c>
      <c r="F6" t="s">
        <v>22</v>
      </c>
      <c r="G6" t="s">
        <v>12</v>
      </c>
      <c r="H6" s="1">
        <v>45653</v>
      </c>
      <c r="I6" t="s">
        <v>16</v>
      </c>
      <c r="J6" t="s">
        <v>17</v>
      </c>
      <c r="K6" t="s">
        <v>18</v>
      </c>
      <c r="L6" s="3">
        <f>IF(Sales_Table[[#This Row],[Revenue]]=0,0,Sales_Table[[#This Row],[Revenue]]/Sales_Table[[#This Row],[Profit]])</f>
        <v>3.7406015037593985</v>
      </c>
    </row>
    <row r="7" spans="1:19" x14ac:dyDescent="0.5">
      <c r="A7" t="s">
        <v>9</v>
      </c>
      <c r="B7">
        <v>4975</v>
      </c>
      <c r="C7">
        <v>1330</v>
      </c>
      <c r="D7">
        <v>14</v>
      </c>
      <c r="E7" t="s">
        <v>10</v>
      </c>
      <c r="F7" t="s">
        <v>22</v>
      </c>
      <c r="G7" t="s">
        <v>12</v>
      </c>
      <c r="H7" s="1">
        <v>44402</v>
      </c>
      <c r="I7" t="s">
        <v>19</v>
      </c>
      <c r="J7" t="s">
        <v>20</v>
      </c>
      <c r="K7" t="s">
        <v>21</v>
      </c>
      <c r="L7" s="3">
        <f>IF(Sales_Table[[#This Row],[Revenue]]=0,0,Sales_Table[[#This Row],[Revenue]]/Sales_Table[[#This Row],[Profit]])</f>
        <v>3.7406015037593985</v>
      </c>
    </row>
    <row r="8" spans="1:19" x14ac:dyDescent="0.5">
      <c r="A8" t="s">
        <v>23</v>
      </c>
      <c r="B8">
        <v>1525</v>
      </c>
      <c r="C8">
        <v>185</v>
      </c>
      <c r="D8">
        <v>12</v>
      </c>
      <c r="E8" t="s">
        <v>24</v>
      </c>
      <c r="F8" t="s">
        <v>25</v>
      </c>
      <c r="G8" t="s">
        <v>26</v>
      </c>
      <c r="H8" s="1">
        <v>45423</v>
      </c>
      <c r="I8" t="s">
        <v>27</v>
      </c>
      <c r="J8" t="s">
        <v>14</v>
      </c>
      <c r="K8" t="s">
        <v>28</v>
      </c>
      <c r="L8" s="3">
        <f>IF(Sales_Table[[#This Row],[Revenue]]=0,0,Sales_Table[[#This Row],[Revenue]]/Sales_Table[[#This Row],[Profit]])</f>
        <v>8.2432432432432439</v>
      </c>
    </row>
    <row r="9" spans="1:19" x14ac:dyDescent="0.5">
      <c r="A9" t="s">
        <v>23</v>
      </c>
      <c r="B9">
        <v>1525</v>
      </c>
      <c r="C9">
        <v>185</v>
      </c>
      <c r="D9">
        <v>12</v>
      </c>
      <c r="E9" t="s">
        <v>24</v>
      </c>
      <c r="F9" t="s">
        <v>25</v>
      </c>
      <c r="G9" t="s">
        <v>26</v>
      </c>
      <c r="H9" s="1">
        <v>44478</v>
      </c>
      <c r="I9" t="s">
        <v>29</v>
      </c>
      <c r="J9" t="s">
        <v>14</v>
      </c>
      <c r="K9" t="s">
        <v>15</v>
      </c>
      <c r="L9" s="3">
        <f>IF(Sales_Table[[#This Row],[Revenue]]=0,0,Sales_Table[[#This Row],[Revenue]]/Sales_Table[[#This Row],[Profit]])</f>
        <v>8.2432432432432439</v>
      </c>
    </row>
    <row r="10" spans="1:19" x14ac:dyDescent="0.5">
      <c r="A10" t="s">
        <v>30</v>
      </c>
      <c r="B10">
        <v>883</v>
      </c>
      <c r="C10">
        <v>117</v>
      </c>
      <c r="D10">
        <v>10</v>
      </c>
      <c r="E10" t="s">
        <v>10</v>
      </c>
      <c r="F10" t="s">
        <v>31</v>
      </c>
      <c r="G10" t="s">
        <v>32</v>
      </c>
      <c r="H10" s="1">
        <v>44883</v>
      </c>
      <c r="I10" t="s">
        <v>33</v>
      </c>
      <c r="J10" t="s">
        <v>34</v>
      </c>
      <c r="K10" t="s">
        <v>35</v>
      </c>
      <c r="L10" s="3">
        <f>IF(Sales_Table[[#This Row],[Revenue]]=0,0,Sales_Table[[#This Row],[Revenue]]/Sales_Table[[#This Row],[Profit]])</f>
        <v>7.5470085470085468</v>
      </c>
    </row>
    <row r="11" spans="1:19" x14ac:dyDescent="0.5">
      <c r="A11" t="s">
        <v>30</v>
      </c>
      <c r="B11">
        <v>8127</v>
      </c>
      <c r="C11">
        <v>3551</v>
      </c>
      <c r="D11">
        <v>16</v>
      </c>
      <c r="E11" t="s">
        <v>36</v>
      </c>
      <c r="F11" t="s">
        <v>37</v>
      </c>
      <c r="G11" t="s">
        <v>38</v>
      </c>
      <c r="H11" s="1">
        <v>44883</v>
      </c>
      <c r="I11" t="s">
        <v>33</v>
      </c>
      <c r="J11" t="s">
        <v>34</v>
      </c>
      <c r="K11" t="s">
        <v>35</v>
      </c>
      <c r="L11" s="3">
        <f>IF(Sales_Table[[#This Row],[Revenue]]=0,0,Sales_Table[[#This Row],[Revenue]]/Sales_Table[[#This Row],[Profit]])</f>
        <v>2.2886510842016334</v>
      </c>
    </row>
    <row r="12" spans="1:19" x14ac:dyDescent="0.5">
      <c r="A12" t="s">
        <v>39</v>
      </c>
      <c r="B12">
        <v>2516</v>
      </c>
      <c r="C12">
        <v>734</v>
      </c>
      <c r="D12">
        <v>19</v>
      </c>
      <c r="E12" t="s">
        <v>36</v>
      </c>
      <c r="F12" t="s">
        <v>40</v>
      </c>
      <c r="G12" t="s">
        <v>12</v>
      </c>
      <c r="H12" s="1">
        <v>45242</v>
      </c>
      <c r="I12" t="s">
        <v>41</v>
      </c>
      <c r="J12" t="s">
        <v>20</v>
      </c>
      <c r="K12" t="s">
        <v>42</v>
      </c>
      <c r="L12" s="3">
        <f>IF(Sales_Table[[#This Row],[Revenue]]=0,0,Sales_Table[[#This Row],[Revenue]]/Sales_Table[[#This Row],[Profit]])</f>
        <v>3.4277929155313354</v>
      </c>
    </row>
    <row r="13" spans="1:19" x14ac:dyDescent="0.5">
      <c r="A13" t="s">
        <v>43</v>
      </c>
      <c r="B13">
        <v>2975</v>
      </c>
      <c r="C13">
        <v>462</v>
      </c>
      <c r="D13">
        <v>14</v>
      </c>
      <c r="E13" t="s">
        <v>24</v>
      </c>
      <c r="F13" t="s">
        <v>25</v>
      </c>
      <c r="G13" t="s">
        <v>38</v>
      </c>
      <c r="H13" s="1">
        <v>43913</v>
      </c>
      <c r="I13" t="s">
        <v>44</v>
      </c>
      <c r="J13" t="s">
        <v>20</v>
      </c>
      <c r="K13" t="s">
        <v>42</v>
      </c>
      <c r="L13" s="3">
        <f>IF(Sales_Table[[#This Row],[Revenue]]=0,0,Sales_Table[[#This Row],[Revenue]]/Sales_Table[[#This Row],[Profit]])</f>
        <v>6.4393939393939394</v>
      </c>
    </row>
    <row r="14" spans="1:19" x14ac:dyDescent="0.5">
      <c r="A14" t="s">
        <v>45</v>
      </c>
      <c r="B14">
        <v>6851</v>
      </c>
      <c r="C14">
        <v>2812</v>
      </c>
      <c r="D14">
        <v>1</v>
      </c>
      <c r="E14" t="s">
        <v>24</v>
      </c>
      <c r="F14" t="s">
        <v>46</v>
      </c>
      <c r="G14" t="s">
        <v>26</v>
      </c>
      <c r="H14" s="1">
        <v>43955</v>
      </c>
      <c r="I14" t="s">
        <v>47</v>
      </c>
      <c r="J14" t="s">
        <v>14</v>
      </c>
      <c r="K14" t="s">
        <v>28</v>
      </c>
      <c r="L14" s="3">
        <f>IF(Sales_Table[[#This Row],[Revenue]]=0,0,Sales_Table[[#This Row],[Revenue]]/Sales_Table[[#This Row],[Profit]])</f>
        <v>2.4363442389758179</v>
      </c>
    </row>
    <row r="15" spans="1:19" x14ac:dyDescent="0.5">
      <c r="A15" t="s">
        <v>45</v>
      </c>
      <c r="B15">
        <v>7626</v>
      </c>
      <c r="C15">
        <v>1046</v>
      </c>
      <c r="D15">
        <v>15</v>
      </c>
      <c r="E15" t="s">
        <v>36</v>
      </c>
      <c r="F15" t="s">
        <v>48</v>
      </c>
      <c r="G15" t="s">
        <v>38</v>
      </c>
      <c r="H15" s="1">
        <v>43955</v>
      </c>
      <c r="I15" t="s">
        <v>47</v>
      </c>
      <c r="J15" t="s">
        <v>14</v>
      </c>
      <c r="K15" t="s">
        <v>28</v>
      </c>
      <c r="L15" s="3">
        <f>IF(Sales_Table[[#This Row],[Revenue]]=0,0,Sales_Table[[#This Row],[Revenue]]/Sales_Table[[#This Row],[Profit]])</f>
        <v>7.2906309751434035</v>
      </c>
    </row>
    <row r="16" spans="1:19" x14ac:dyDescent="0.5">
      <c r="A16" t="s">
        <v>45</v>
      </c>
      <c r="B16">
        <v>1023</v>
      </c>
      <c r="C16">
        <v>78</v>
      </c>
      <c r="D16">
        <v>9</v>
      </c>
      <c r="E16" t="s">
        <v>36</v>
      </c>
      <c r="F16" t="s">
        <v>37</v>
      </c>
      <c r="G16" t="s">
        <v>12</v>
      </c>
      <c r="H16" s="1">
        <v>43955</v>
      </c>
      <c r="I16" t="s">
        <v>47</v>
      </c>
      <c r="J16" t="s">
        <v>14</v>
      </c>
      <c r="K16" t="s">
        <v>28</v>
      </c>
      <c r="L16" s="3">
        <f>IF(Sales_Table[[#This Row],[Revenue]]=0,0,Sales_Table[[#This Row],[Revenue]]/Sales_Table[[#This Row],[Profit]])</f>
        <v>13.115384615384615</v>
      </c>
    </row>
    <row r="17" spans="1:12" x14ac:dyDescent="0.5">
      <c r="A17" t="s">
        <v>49</v>
      </c>
      <c r="B17">
        <v>7600</v>
      </c>
      <c r="C17">
        <v>1098</v>
      </c>
      <c r="D17">
        <v>10</v>
      </c>
      <c r="E17" t="s">
        <v>24</v>
      </c>
      <c r="F17" t="s">
        <v>25</v>
      </c>
      <c r="G17" t="s">
        <v>12</v>
      </c>
      <c r="H17" s="1">
        <v>45239</v>
      </c>
      <c r="I17" t="s">
        <v>50</v>
      </c>
      <c r="J17" t="s">
        <v>17</v>
      </c>
      <c r="K17" t="s">
        <v>51</v>
      </c>
      <c r="L17" s="3">
        <f>IF(Sales_Table[[#This Row],[Revenue]]=0,0,Sales_Table[[#This Row],[Revenue]]/Sales_Table[[#This Row],[Profit]])</f>
        <v>6.9216757741347905</v>
      </c>
    </row>
    <row r="18" spans="1:12" x14ac:dyDescent="0.5">
      <c r="A18" t="s">
        <v>49</v>
      </c>
      <c r="B18">
        <v>7501</v>
      </c>
      <c r="C18">
        <v>262</v>
      </c>
      <c r="D18">
        <v>18</v>
      </c>
      <c r="E18" t="s">
        <v>24</v>
      </c>
      <c r="F18" t="s">
        <v>52</v>
      </c>
      <c r="G18" t="s">
        <v>53</v>
      </c>
      <c r="H18" s="1">
        <v>45239</v>
      </c>
      <c r="I18" t="s">
        <v>50</v>
      </c>
      <c r="J18" t="s">
        <v>17</v>
      </c>
      <c r="K18" t="s">
        <v>51</v>
      </c>
      <c r="L18" s="3">
        <f>IF(Sales_Table[[#This Row],[Revenue]]=0,0,Sales_Table[[#This Row],[Revenue]]/Sales_Table[[#This Row],[Profit]])</f>
        <v>28.629770992366414</v>
      </c>
    </row>
    <row r="19" spans="1:12" x14ac:dyDescent="0.5">
      <c r="A19" t="s">
        <v>54</v>
      </c>
      <c r="B19">
        <v>725</v>
      </c>
      <c r="C19">
        <v>133</v>
      </c>
      <c r="D19">
        <v>6</v>
      </c>
      <c r="E19" t="s">
        <v>24</v>
      </c>
      <c r="F19" t="s">
        <v>52</v>
      </c>
      <c r="G19" t="s">
        <v>38</v>
      </c>
      <c r="H19" s="1">
        <v>45656</v>
      </c>
      <c r="I19" t="s">
        <v>55</v>
      </c>
      <c r="J19" t="s">
        <v>20</v>
      </c>
      <c r="K19" t="s">
        <v>56</v>
      </c>
      <c r="L19" s="3">
        <f>IF(Sales_Table[[#This Row],[Revenue]]=0,0,Sales_Table[[#This Row],[Revenue]]/Sales_Table[[#This Row],[Profit]])</f>
        <v>5.4511278195488719</v>
      </c>
    </row>
    <row r="20" spans="1:12" x14ac:dyDescent="0.5">
      <c r="A20" t="s">
        <v>54</v>
      </c>
      <c r="B20">
        <v>7201</v>
      </c>
      <c r="C20">
        <v>2685</v>
      </c>
      <c r="D20">
        <v>2</v>
      </c>
      <c r="E20" t="s">
        <v>36</v>
      </c>
      <c r="F20" t="s">
        <v>37</v>
      </c>
      <c r="G20" t="s">
        <v>38</v>
      </c>
      <c r="H20" s="1">
        <v>45656</v>
      </c>
      <c r="I20" t="s">
        <v>55</v>
      </c>
      <c r="J20" t="s">
        <v>20</v>
      </c>
      <c r="K20" t="s">
        <v>56</v>
      </c>
      <c r="L20" s="3">
        <f>IF(Sales_Table[[#This Row],[Revenue]]=0,0,Sales_Table[[#This Row],[Revenue]]/Sales_Table[[#This Row],[Profit]])</f>
        <v>2.6819366852886404</v>
      </c>
    </row>
    <row r="21" spans="1:12" x14ac:dyDescent="0.5">
      <c r="A21" t="s">
        <v>57</v>
      </c>
      <c r="B21">
        <v>1629</v>
      </c>
      <c r="C21">
        <v>265</v>
      </c>
      <c r="D21">
        <v>1</v>
      </c>
      <c r="E21" t="s">
        <v>24</v>
      </c>
      <c r="F21" t="s">
        <v>52</v>
      </c>
      <c r="G21" t="s">
        <v>12</v>
      </c>
      <c r="H21" s="1">
        <v>45699</v>
      </c>
      <c r="I21" t="s">
        <v>58</v>
      </c>
      <c r="J21" t="s">
        <v>59</v>
      </c>
      <c r="K21" t="s">
        <v>60</v>
      </c>
      <c r="L21" s="3">
        <f>IF(Sales_Table[[#This Row],[Revenue]]=0,0,Sales_Table[[#This Row],[Revenue]]/Sales_Table[[#This Row],[Profit]])</f>
        <v>6.1471698113207545</v>
      </c>
    </row>
    <row r="22" spans="1:12" x14ac:dyDescent="0.5">
      <c r="A22" t="s">
        <v>57</v>
      </c>
      <c r="B22">
        <v>1629</v>
      </c>
      <c r="C22">
        <v>265</v>
      </c>
      <c r="D22">
        <v>1</v>
      </c>
      <c r="E22" t="s">
        <v>24</v>
      </c>
      <c r="F22" t="s">
        <v>52</v>
      </c>
      <c r="G22" t="s">
        <v>12</v>
      </c>
      <c r="H22" s="1">
        <v>45314</v>
      </c>
      <c r="I22" t="s">
        <v>61</v>
      </c>
      <c r="J22" t="s">
        <v>34</v>
      </c>
      <c r="K22" t="s">
        <v>62</v>
      </c>
      <c r="L22" s="3">
        <f>IF(Sales_Table[[#This Row],[Revenue]]=0,0,Sales_Table[[#This Row],[Revenue]]/Sales_Table[[#This Row],[Profit]])</f>
        <v>6.1471698113207545</v>
      </c>
    </row>
    <row r="23" spans="1:12" x14ac:dyDescent="0.5">
      <c r="A23" t="s">
        <v>63</v>
      </c>
      <c r="B23">
        <v>8971</v>
      </c>
      <c r="C23">
        <v>2971</v>
      </c>
      <c r="D23">
        <v>19</v>
      </c>
      <c r="E23" t="s">
        <v>24</v>
      </c>
      <c r="F23" t="s">
        <v>64</v>
      </c>
      <c r="G23" t="s">
        <v>26</v>
      </c>
      <c r="H23" s="1">
        <v>44163</v>
      </c>
      <c r="I23" t="s">
        <v>65</v>
      </c>
      <c r="J23" t="s">
        <v>34</v>
      </c>
      <c r="K23" t="s">
        <v>62</v>
      </c>
      <c r="L23" s="3">
        <f>IF(Sales_Table[[#This Row],[Revenue]]=0,0,Sales_Table[[#This Row],[Revenue]]/Sales_Table[[#This Row],[Profit]])</f>
        <v>3.0195220464490071</v>
      </c>
    </row>
    <row r="24" spans="1:12" x14ac:dyDescent="0.5">
      <c r="A24" t="s">
        <v>63</v>
      </c>
      <c r="B24">
        <v>2939</v>
      </c>
      <c r="C24">
        <v>894</v>
      </c>
      <c r="D24">
        <v>20</v>
      </c>
      <c r="E24" t="s">
        <v>24</v>
      </c>
      <c r="F24" t="s">
        <v>64</v>
      </c>
      <c r="G24" t="s">
        <v>53</v>
      </c>
      <c r="H24" s="1">
        <v>44163</v>
      </c>
      <c r="I24" t="s">
        <v>65</v>
      </c>
      <c r="J24" t="s">
        <v>34</v>
      </c>
      <c r="K24" t="s">
        <v>62</v>
      </c>
      <c r="L24" s="3">
        <f>IF(Sales_Table[[#This Row],[Revenue]]=0,0,Sales_Table[[#This Row],[Revenue]]/Sales_Table[[#This Row],[Profit]])</f>
        <v>3.2874720357941833</v>
      </c>
    </row>
    <row r="25" spans="1:12" x14ac:dyDescent="0.5">
      <c r="A25" t="s">
        <v>66</v>
      </c>
      <c r="B25">
        <v>9380</v>
      </c>
      <c r="C25">
        <v>414</v>
      </c>
      <c r="D25">
        <v>11</v>
      </c>
      <c r="E25" t="s">
        <v>10</v>
      </c>
      <c r="F25" t="s">
        <v>67</v>
      </c>
      <c r="G25" t="s">
        <v>12</v>
      </c>
      <c r="H25" s="1">
        <v>45442</v>
      </c>
      <c r="I25" t="s">
        <v>68</v>
      </c>
      <c r="J25" t="s">
        <v>20</v>
      </c>
      <c r="K25" t="s">
        <v>56</v>
      </c>
      <c r="L25" s="3">
        <f>IF(Sales_Table[[#This Row],[Revenue]]=0,0,Sales_Table[[#This Row],[Revenue]]/Sales_Table[[#This Row],[Profit]])</f>
        <v>22.657004830917874</v>
      </c>
    </row>
    <row r="26" spans="1:12" x14ac:dyDescent="0.5">
      <c r="A26" t="s">
        <v>66</v>
      </c>
      <c r="B26">
        <v>8558</v>
      </c>
      <c r="C26">
        <v>1644</v>
      </c>
      <c r="D26">
        <v>18</v>
      </c>
      <c r="E26" t="s">
        <v>24</v>
      </c>
      <c r="F26" t="s">
        <v>64</v>
      </c>
      <c r="G26" t="s">
        <v>38</v>
      </c>
      <c r="H26" s="1">
        <v>45442</v>
      </c>
      <c r="I26" t="s">
        <v>68</v>
      </c>
      <c r="J26" t="s">
        <v>20</v>
      </c>
      <c r="K26" t="s">
        <v>56</v>
      </c>
      <c r="L26" s="3">
        <f>IF(Sales_Table[[#This Row],[Revenue]]=0,0,Sales_Table[[#This Row],[Revenue]]/Sales_Table[[#This Row],[Profit]])</f>
        <v>5.2055961070559613</v>
      </c>
    </row>
    <row r="27" spans="1:12" x14ac:dyDescent="0.5">
      <c r="A27" t="s">
        <v>66</v>
      </c>
      <c r="B27">
        <v>4080</v>
      </c>
      <c r="C27">
        <v>72</v>
      </c>
      <c r="D27">
        <v>17</v>
      </c>
      <c r="E27" t="s">
        <v>24</v>
      </c>
      <c r="F27" t="s">
        <v>52</v>
      </c>
      <c r="G27" t="s">
        <v>53</v>
      </c>
      <c r="H27" s="1">
        <v>45442</v>
      </c>
      <c r="I27" t="s">
        <v>68</v>
      </c>
      <c r="J27" t="s">
        <v>20</v>
      </c>
      <c r="K27" t="s">
        <v>56</v>
      </c>
      <c r="L27" s="3">
        <f>IF(Sales_Table[[#This Row],[Revenue]]=0,0,Sales_Table[[#This Row],[Revenue]]/Sales_Table[[#This Row],[Profit]])</f>
        <v>56.666666666666664</v>
      </c>
    </row>
    <row r="28" spans="1:12" x14ac:dyDescent="0.5">
      <c r="A28" t="s">
        <v>69</v>
      </c>
      <c r="B28">
        <v>4206</v>
      </c>
      <c r="C28">
        <v>1821</v>
      </c>
      <c r="D28">
        <v>17</v>
      </c>
      <c r="E28" t="s">
        <v>10</v>
      </c>
      <c r="F28" t="s">
        <v>11</v>
      </c>
      <c r="G28" t="s">
        <v>32</v>
      </c>
      <c r="H28" s="1">
        <v>44584</v>
      </c>
      <c r="I28" t="s">
        <v>70</v>
      </c>
      <c r="J28" t="s">
        <v>59</v>
      </c>
      <c r="K28" t="s">
        <v>71</v>
      </c>
      <c r="L28" s="3">
        <f>IF(Sales_Table[[#This Row],[Revenue]]=0,0,Sales_Table[[#This Row],[Revenue]]/Sales_Table[[#This Row],[Profit]])</f>
        <v>2.3097199341021417</v>
      </c>
    </row>
    <row r="29" spans="1:12" x14ac:dyDescent="0.5">
      <c r="A29" t="s">
        <v>72</v>
      </c>
      <c r="B29">
        <v>5219</v>
      </c>
      <c r="C29">
        <v>1180</v>
      </c>
      <c r="D29">
        <v>20</v>
      </c>
      <c r="E29" t="s">
        <v>24</v>
      </c>
      <c r="F29" t="s">
        <v>64</v>
      </c>
      <c r="G29" t="s">
        <v>53</v>
      </c>
      <c r="H29" s="1">
        <v>44547</v>
      </c>
      <c r="I29" t="s">
        <v>73</v>
      </c>
      <c r="J29" t="s">
        <v>20</v>
      </c>
      <c r="K29" t="s">
        <v>42</v>
      </c>
      <c r="L29" s="3">
        <f>IF(Sales_Table[[#This Row],[Revenue]]=0,0,Sales_Table[[#This Row],[Revenue]]/Sales_Table[[#This Row],[Profit]])</f>
        <v>4.4228813559322031</v>
      </c>
    </row>
    <row r="30" spans="1:12" x14ac:dyDescent="0.5">
      <c r="A30" t="s">
        <v>72</v>
      </c>
      <c r="B30">
        <v>5219</v>
      </c>
      <c r="C30">
        <v>1180</v>
      </c>
      <c r="D30">
        <v>20</v>
      </c>
      <c r="E30" t="s">
        <v>24</v>
      </c>
      <c r="F30" t="s">
        <v>64</v>
      </c>
      <c r="G30" t="s">
        <v>53</v>
      </c>
      <c r="H30" s="1">
        <v>44960</v>
      </c>
      <c r="I30" t="s">
        <v>74</v>
      </c>
      <c r="J30" t="s">
        <v>34</v>
      </c>
      <c r="K30" t="s">
        <v>75</v>
      </c>
      <c r="L30" s="3">
        <f>IF(Sales_Table[[#This Row],[Revenue]]=0,0,Sales_Table[[#This Row],[Revenue]]/Sales_Table[[#This Row],[Profit]])</f>
        <v>4.4228813559322031</v>
      </c>
    </row>
    <row r="31" spans="1:12" x14ac:dyDescent="0.5">
      <c r="A31" t="s">
        <v>76</v>
      </c>
      <c r="B31">
        <v>3686</v>
      </c>
      <c r="C31">
        <v>760</v>
      </c>
      <c r="D31">
        <v>20</v>
      </c>
      <c r="E31" t="s">
        <v>24</v>
      </c>
      <c r="F31" t="s">
        <v>25</v>
      </c>
      <c r="G31" t="s">
        <v>26</v>
      </c>
      <c r="H31" s="1">
        <v>44864</v>
      </c>
      <c r="I31" t="s">
        <v>77</v>
      </c>
      <c r="J31" t="s">
        <v>34</v>
      </c>
      <c r="K31" t="s">
        <v>75</v>
      </c>
      <c r="L31" s="3">
        <f>IF(Sales_Table[[#This Row],[Revenue]]=0,0,Sales_Table[[#This Row],[Revenue]]/Sales_Table[[#This Row],[Profit]])</f>
        <v>4.8499999999999996</v>
      </c>
    </row>
    <row r="32" spans="1:12" x14ac:dyDescent="0.5">
      <c r="A32" t="s">
        <v>76</v>
      </c>
      <c r="B32">
        <v>3686</v>
      </c>
      <c r="C32">
        <v>760</v>
      </c>
      <c r="D32">
        <v>20</v>
      </c>
      <c r="E32" t="s">
        <v>24</v>
      </c>
      <c r="F32" t="s">
        <v>25</v>
      </c>
      <c r="G32" t="s">
        <v>26</v>
      </c>
      <c r="H32" s="1">
        <v>44576</v>
      </c>
      <c r="I32" t="s">
        <v>78</v>
      </c>
      <c r="J32" t="s">
        <v>79</v>
      </c>
      <c r="K32" t="s">
        <v>80</v>
      </c>
      <c r="L32" s="3">
        <f>IF(Sales_Table[[#This Row],[Revenue]]=0,0,Sales_Table[[#This Row],[Revenue]]/Sales_Table[[#This Row],[Profit]])</f>
        <v>4.8499999999999996</v>
      </c>
    </row>
    <row r="33" spans="1:12" x14ac:dyDescent="0.5">
      <c r="A33" t="s">
        <v>81</v>
      </c>
      <c r="B33">
        <v>6045</v>
      </c>
      <c r="C33">
        <v>1606</v>
      </c>
      <c r="D33">
        <v>4</v>
      </c>
      <c r="E33" t="s">
        <v>24</v>
      </c>
      <c r="F33" t="s">
        <v>52</v>
      </c>
      <c r="G33" t="s">
        <v>53</v>
      </c>
      <c r="H33" s="1">
        <v>45274</v>
      </c>
      <c r="I33" t="s">
        <v>82</v>
      </c>
      <c r="J33" t="s">
        <v>14</v>
      </c>
      <c r="K33" t="s">
        <v>28</v>
      </c>
      <c r="L33" s="3">
        <f>IF(Sales_Table[[#This Row],[Revenue]]=0,0,Sales_Table[[#This Row],[Revenue]]/Sales_Table[[#This Row],[Profit]])</f>
        <v>3.7640099626400998</v>
      </c>
    </row>
    <row r="34" spans="1:12" x14ac:dyDescent="0.5">
      <c r="A34" t="s">
        <v>81</v>
      </c>
      <c r="B34">
        <v>9337</v>
      </c>
      <c r="C34">
        <v>554</v>
      </c>
      <c r="D34">
        <v>11</v>
      </c>
      <c r="E34" t="s">
        <v>24</v>
      </c>
      <c r="F34" t="s">
        <v>25</v>
      </c>
      <c r="G34" t="s">
        <v>53</v>
      </c>
      <c r="H34" s="1">
        <v>45274</v>
      </c>
      <c r="I34" t="s">
        <v>82</v>
      </c>
      <c r="J34" t="s">
        <v>14</v>
      </c>
      <c r="K34" t="s">
        <v>28</v>
      </c>
      <c r="L34" s="3">
        <f>IF(Sales_Table[[#This Row],[Revenue]]=0,0,Sales_Table[[#This Row],[Revenue]]/Sales_Table[[#This Row],[Profit]])</f>
        <v>16.853790613718413</v>
      </c>
    </row>
    <row r="35" spans="1:12" x14ac:dyDescent="0.5">
      <c r="A35" t="s">
        <v>83</v>
      </c>
      <c r="B35">
        <v>4051</v>
      </c>
      <c r="C35">
        <v>1848</v>
      </c>
      <c r="D35">
        <v>12</v>
      </c>
      <c r="E35" t="s">
        <v>10</v>
      </c>
      <c r="F35" t="s">
        <v>67</v>
      </c>
      <c r="G35" t="s">
        <v>38</v>
      </c>
      <c r="H35" s="1">
        <v>45110</v>
      </c>
      <c r="I35" t="s">
        <v>84</v>
      </c>
      <c r="J35" t="s">
        <v>34</v>
      </c>
      <c r="K35" t="s">
        <v>62</v>
      </c>
      <c r="L35" s="3">
        <f>IF(Sales_Table[[#This Row],[Revenue]]=0,0,Sales_Table[[#This Row],[Revenue]]/Sales_Table[[#This Row],[Profit]])</f>
        <v>2.1920995670995671</v>
      </c>
    </row>
    <row r="36" spans="1:12" x14ac:dyDescent="0.5">
      <c r="A36" t="s">
        <v>83</v>
      </c>
      <c r="B36">
        <v>4051</v>
      </c>
      <c r="C36">
        <v>1848</v>
      </c>
      <c r="D36">
        <v>12</v>
      </c>
      <c r="E36" t="s">
        <v>10</v>
      </c>
      <c r="F36" t="s">
        <v>67</v>
      </c>
      <c r="G36" t="s">
        <v>38</v>
      </c>
      <c r="H36" s="1">
        <v>44324</v>
      </c>
      <c r="I36" t="s">
        <v>85</v>
      </c>
      <c r="J36" t="s">
        <v>79</v>
      </c>
      <c r="K36" t="s">
        <v>86</v>
      </c>
      <c r="L36" s="3">
        <f>IF(Sales_Table[[#This Row],[Revenue]]=0,0,Sales_Table[[#This Row],[Revenue]]/Sales_Table[[#This Row],[Profit]])</f>
        <v>2.1920995670995671</v>
      </c>
    </row>
    <row r="37" spans="1:12" x14ac:dyDescent="0.5">
      <c r="A37" t="s">
        <v>83</v>
      </c>
      <c r="B37">
        <v>5011</v>
      </c>
      <c r="C37">
        <v>866</v>
      </c>
      <c r="D37">
        <v>11</v>
      </c>
      <c r="E37" t="s">
        <v>36</v>
      </c>
      <c r="F37" t="s">
        <v>87</v>
      </c>
      <c r="G37" t="s">
        <v>38</v>
      </c>
      <c r="H37" s="1">
        <v>45110</v>
      </c>
      <c r="I37" t="s">
        <v>84</v>
      </c>
      <c r="J37" t="s">
        <v>34</v>
      </c>
      <c r="K37" t="s">
        <v>62</v>
      </c>
      <c r="L37" s="3">
        <f>IF(Sales_Table[[#This Row],[Revenue]]=0,0,Sales_Table[[#This Row],[Revenue]]/Sales_Table[[#This Row],[Profit]])</f>
        <v>5.7863741339491916</v>
      </c>
    </row>
    <row r="38" spans="1:12" x14ac:dyDescent="0.5">
      <c r="A38" t="s">
        <v>83</v>
      </c>
      <c r="B38">
        <v>5011</v>
      </c>
      <c r="C38">
        <v>866</v>
      </c>
      <c r="D38">
        <v>11</v>
      </c>
      <c r="E38" t="s">
        <v>36</v>
      </c>
      <c r="F38" t="s">
        <v>87</v>
      </c>
      <c r="G38" t="s">
        <v>38</v>
      </c>
      <c r="H38" s="1">
        <v>44324</v>
      </c>
      <c r="I38" t="s">
        <v>85</v>
      </c>
      <c r="J38" t="s">
        <v>79</v>
      </c>
      <c r="K38" t="s">
        <v>86</v>
      </c>
      <c r="L38" s="3">
        <f>IF(Sales_Table[[#This Row],[Revenue]]=0,0,Sales_Table[[#This Row],[Revenue]]/Sales_Table[[#This Row],[Profit]])</f>
        <v>5.7863741339491916</v>
      </c>
    </row>
    <row r="39" spans="1:12" x14ac:dyDescent="0.5">
      <c r="A39" t="s">
        <v>88</v>
      </c>
      <c r="B39">
        <v>3958</v>
      </c>
      <c r="C39">
        <v>630</v>
      </c>
      <c r="D39">
        <v>15</v>
      </c>
      <c r="E39" t="s">
        <v>36</v>
      </c>
      <c r="F39" t="s">
        <v>48</v>
      </c>
      <c r="G39" t="s">
        <v>32</v>
      </c>
      <c r="H39" s="1">
        <v>44841</v>
      </c>
      <c r="I39" t="s">
        <v>89</v>
      </c>
      <c r="J39" t="s">
        <v>14</v>
      </c>
      <c r="K39" t="s">
        <v>28</v>
      </c>
      <c r="L39" s="3">
        <f>IF(Sales_Table[[#This Row],[Revenue]]=0,0,Sales_Table[[#This Row],[Revenue]]/Sales_Table[[#This Row],[Profit]])</f>
        <v>6.2825396825396824</v>
      </c>
    </row>
    <row r="40" spans="1:12" x14ac:dyDescent="0.5">
      <c r="A40" t="s">
        <v>88</v>
      </c>
      <c r="B40">
        <v>3132</v>
      </c>
      <c r="C40">
        <v>963</v>
      </c>
      <c r="D40">
        <v>1</v>
      </c>
      <c r="E40" t="s">
        <v>36</v>
      </c>
      <c r="F40" t="s">
        <v>37</v>
      </c>
      <c r="G40" t="s">
        <v>26</v>
      </c>
      <c r="H40" s="1">
        <v>44841</v>
      </c>
      <c r="I40" t="s">
        <v>89</v>
      </c>
      <c r="J40" t="s">
        <v>14</v>
      </c>
      <c r="K40" t="s">
        <v>28</v>
      </c>
      <c r="L40" s="3">
        <f>IF(Sales_Table[[#This Row],[Revenue]]=0,0,Sales_Table[[#This Row],[Revenue]]/Sales_Table[[#This Row],[Profit]])</f>
        <v>3.2523364485981308</v>
      </c>
    </row>
    <row r="41" spans="1:12" x14ac:dyDescent="0.5">
      <c r="A41" t="s">
        <v>90</v>
      </c>
      <c r="B41">
        <v>7784</v>
      </c>
      <c r="C41">
        <v>2937</v>
      </c>
      <c r="D41">
        <v>12</v>
      </c>
      <c r="E41" t="s">
        <v>24</v>
      </c>
      <c r="F41" t="s">
        <v>46</v>
      </c>
      <c r="G41" t="s">
        <v>12</v>
      </c>
      <c r="H41" s="1">
        <v>45510</v>
      </c>
      <c r="I41" t="s">
        <v>91</v>
      </c>
      <c r="J41" t="s">
        <v>34</v>
      </c>
      <c r="K41" t="s">
        <v>75</v>
      </c>
      <c r="L41" s="3">
        <f>IF(Sales_Table[[#This Row],[Revenue]]=0,0,Sales_Table[[#This Row],[Revenue]]/Sales_Table[[#This Row],[Profit]])</f>
        <v>2.6503234593122236</v>
      </c>
    </row>
    <row r="42" spans="1:12" x14ac:dyDescent="0.5">
      <c r="A42" t="s">
        <v>90</v>
      </c>
      <c r="B42">
        <v>5591</v>
      </c>
      <c r="C42">
        <v>1696</v>
      </c>
      <c r="D42">
        <v>3</v>
      </c>
      <c r="E42" t="s">
        <v>24</v>
      </c>
      <c r="F42" t="s">
        <v>25</v>
      </c>
      <c r="G42" t="s">
        <v>53</v>
      </c>
      <c r="H42" s="1">
        <v>45510</v>
      </c>
      <c r="I42" t="s">
        <v>91</v>
      </c>
      <c r="J42" t="s">
        <v>34</v>
      </c>
      <c r="K42" t="s">
        <v>75</v>
      </c>
      <c r="L42" s="3">
        <f>IF(Sales_Table[[#This Row],[Revenue]]=0,0,Sales_Table[[#This Row],[Revenue]]/Sales_Table[[#This Row],[Profit]])</f>
        <v>3.2965801886792452</v>
      </c>
    </row>
    <row r="43" spans="1:12" x14ac:dyDescent="0.5">
      <c r="A43" t="s">
        <v>90</v>
      </c>
      <c r="B43">
        <v>5122</v>
      </c>
      <c r="C43">
        <v>2413</v>
      </c>
      <c r="D43">
        <v>12</v>
      </c>
      <c r="E43" t="s">
        <v>10</v>
      </c>
      <c r="F43" t="s">
        <v>11</v>
      </c>
      <c r="G43" t="s">
        <v>53</v>
      </c>
      <c r="H43" s="1">
        <v>45510</v>
      </c>
      <c r="I43" t="s">
        <v>91</v>
      </c>
      <c r="J43" t="s">
        <v>34</v>
      </c>
      <c r="K43" t="s">
        <v>75</v>
      </c>
      <c r="L43" s="3">
        <f>IF(Sales_Table[[#This Row],[Revenue]]=0,0,Sales_Table[[#This Row],[Revenue]]/Sales_Table[[#This Row],[Profit]])</f>
        <v>2.122668876916701</v>
      </c>
    </row>
    <row r="44" spans="1:12" x14ac:dyDescent="0.5">
      <c r="A44" t="s">
        <v>92</v>
      </c>
      <c r="B44">
        <v>8293</v>
      </c>
      <c r="C44">
        <v>2632</v>
      </c>
      <c r="D44">
        <v>8</v>
      </c>
      <c r="E44" t="s">
        <v>24</v>
      </c>
      <c r="F44" t="s">
        <v>64</v>
      </c>
      <c r="G44" t="s">
        <v>53</v>
      </c>
      <c r="H44" s="1">
        <v>44566</v>
      </c>
      <c r="I44" t="s">
        <v>93</v>
      </c>
      <c r="J44" t="s">
        <v>79</v>
      </c>
      <c r="K44" t="s">
        <v>94</v>
      </c>
      <c r="L44" s="3">
        <f>IF(Sales_Table[[#This Row],[Revenue]]=0,0,Sales_Table[[#This Row],[Revenue]]/Sales_Table[[#This Row],[Profit]])</f>
        <v>3.150835866261398</v>
      </c>
    </row>
    <row r="45" spans="1:12" x14ac:dyDescent="0.5">
      <c r="A45" t="s">
        <v>92</v>
      </c>
      <c r="B45">
        <v>8293</v>
      </c>
      <c r="C45">
        <v>2632</v>
      </c>
      <c r="D45">
        <v>8</v>
      </c>
      <c r="E45" t="s">
        <v>24</v>
      </c>
      <c r="F45" t="s">
        <v>64</v>
      </c>
      <c r="G45" t="s">
        <v>53</v>
      </c>
      <c r="H45" s="1">
        <v>44121</v>
      </c>
      <c r="I45" t="s">
        <v>95</v>
      </c>
      <c r="J45" t="s">
        <v>20</v>
      </c>
      <c r="K45" t="s">
        <v>56</v>
      </c>
      <c r="L45" s="3">
        <f>IF(Sales_Table[[#This Row],[Revenue]]=0,0,Sales_Table[[#This Row],[Revenue]]/Sales_Table[[#This Row],[Profit]])</f>
        <v>3.150835866261398</v>
      </c>
    </row>
    <row r="46" spans="1:12" x14ac:dyDescent="0.5">
      <c r="A46" t="s">
        <v>92</v>
      </c>
      <c r="B46">
        <v>8293</v>
      </c>
      <c r="C46">
        <v>2632</v>
      </c>
      <c r="D46">
        <v>8</v>
      </c>
      <c r="E46" t="s">
        <v>24</v>
      </c>
      <c r="F46" t="s">
        <v>64</v>
      </c>
      <c r="G46" t="s">
        <v>53</v>
      </c>
      <c r="H46" s="1">
        <v>45159</v>
      </c>
      <c r="I46" t="s">
        <v>96</v>
      </c>
      <c r="J46" t="s">
        <v>34</v>
      </c>
      <c r="K46" t="s">
        <v>35</v>
      </c>
      <c r="L46" s="3">
        <f>IF(Sales_Table[[#This Row],[Revenue]]=0,0,Sales_Table[[#This Row],[Revenue]]/Sales_Table[[#This Row],[Profit]])</f>
        <v>3.150835866261398</v>
      </c>
    </row>
    <row r="47" spans="1:12" x14ac:dyDescent="0.5">
      <c r="A47" t="s">
        <v>92</v>
      </c>
      <c r="B47">
        <v>2863</v>
      </c>
      <c r="C47">
        <v>205</v>
      </c>
      <c r="D47">
        <v>17</v>
      </c>
      <c r="E47" t="s">
        <v>10</v>
      </c>
      <c r="F47" t="s">
        <v>67</v>
      </c>
      <c r="G47" t="s">
        <v>12</v>
      </c>
      <c r="H47" s="1">
        <v>44566</v>
      </c>
      <c r="I47" t="s">
        <v>93</v>
      </c>
      <c r="J47" t="s">
        <v>79</v>
      </c>
      <c r="K47" t="s">
        <v>94</v>
      </c>
      <c r="L47" s="3">
        <f>IF(Sales_Table[[#This Row],[Revenue]]=0,0,Sales_Table[[#This Row],[Revenue]]/Sales_Table[[#This Row],[Profit]])</f>
        <v>13.965853658536586</v>
      </c>
    </row>
    <row r="48" spans="1:12" x14ac:dyDescent="0.5">
      <c r="A48" t="s">
        <v>92</v>
      </c>
      <c r="B48">
        <v>2863</v>
      </c>
      <c r="C48">
        <v>205</v>
      </c>
      <c r="D48">
        <v>17</v>
      </c>
      <c r="E48" t="s">
        <v>10</v>
      </c>
      <c r="F48" t="s">
        <v>67</v>
      </c>
      <c r="G48" t="s">
        <v>12</v>
      </c>
      <c r="H48" s="1">
        <v>44121</v>
      </c>
      <c r="I48" t="s">
        <v>95</v>
      </c>
      <c r="J48" t="s">
        <v>20</v>
      </c>
      <c r="K48" t="s">
        <v>56</v>
      </c>
      <c r="L48" s="3">
        <f>IF(Sales_Table[[#This Row],[Revenue]]=0,0,Sales_Table[[#This Row],[Revenue]]/Sales_Table[[#This Row],[Profit]])</f>
        <v>13.965853658536586</v>
      </c>
    </row>
    <row r="49" spans="1:12" x14ac:dyDescent="0.5">
      <c r="A49" t="s">
        <v>92</v>
      </c>
      <c r="B49">
        <v>2863</v>
      </c>
      <c r="C49">
        <v>205</v>
      </c>
      <c r="D49">
        <v>17</v>
      </c>
      <c r="E49" t="s">
        <v>10</v>
      </c>
      <c r="F49" t="s">
        <v>67</v>
      </c>
      <c r="G49" t="s">
        <v>12</v>
      </c>
      <c r="H49" s="1">
        <v>45159</v>
      </c>
      <c r="I49" t="s">
        <v>96</v>
      </c>
      <c r="J49" t="s">
        <v>34</v>
      </c>
      <c r="K49" t="s">
        <v>35</v>
      </c>
      <c r="L49" s="3">
        <f>IF(Sales_Table[[#This Row],[Revenue]]=0,0,Sales_Table[[#This Row],[Revenue]]/Sales_Table[[#This Row],[Profit]])</f>
        <v>13.965853658536586</v>
      </c>
    </row>
    <row r="50" spans="1:12" x14ac:dyDescent="0.5">
      <c r="A50" t="s">
        <v>97</v>
      </c>
      <c r="B50">
        <v>3090</v>
      </c>
      <c r="C50">
        <v>573</v>
      </c>
      <c r="D50">
        <v>6</v>
      </c>
      <c r="E50" t="s">
        <v>36</v>
      </c>
      <c r="F50" t="s">
        <v>37</v>
      </c>
      <c r="G50" t="s">
        <v>32</v>
      </c>
      <c r="H50" s="1">
        <v>45653</v>
      </c>
      <c r="I50" t="s">
        <v>98</v>
      </c>
      <c r="J50" t="s">
        <v>34</v>
      </c>
      <c r="K50" t="s">
        <v>62</v>
      </c>
      <c r="L50" s="3">
        <f>IF(Sales_Table[[#This Row],[Revenue]]=0,0,Sales_Table[[#This Row],[Revenue]]/Sales_Table[[#This Row],[Profit]])</f>
        <v>5.3926701570680624</v>
      </c>
    </row>
    <row r="51" spans="1:12" x14ac:dyDescent="0.5">
      <c r="A51" t="s">
        <v>97</v>
      </c>
      <c r="B51">
        <v>3090</v>
      </c>
      <c r="C51">
        <v>573</v>
      </c>
      <c r="D51">
        <v>6</v>
      </c>
      <c r="E51" t="s">
        <v>36</v>
      </c>
      <c r="F51" t="s">
        <v>37</v>
      </c>
      <c r="G51" t="s">
        <v>32</v>
      </c>
      <c r="H51" s="1">
        <v>44365</v>
      </c>
      <c r="I51" t="s">
        <v>99</v>
      </c>
      <c r="J51" t="s">
        <v>79</v>
      </c>
      <c r="K51" t="s">
        <v>86</v>
      </c>
      <c r="L51" s="3">
        <f>IF(Sales_Table[[#This Row],[Revenue]]=0,0,Sales_Table[[#This Row],[Revenue]]/Sales_Table[[#This Row],[Profit]])</f>
        <v>5.3926701570680624</v>
      </c>
    </row>
    <row r="52" spans="1:12" x14ac:dyDescent="0.5">
      <c r="A52" t="s">
        <v>97</v>
      </c>
      <c r="B52">
        <v>3090</v>
      </c>
      <c r="C52">
        <v>573</v>
      </c>
      <c r="D52">
        <v>6</v>
      </c>
      <c r="E52" t="s">
        <v>36</v>
      </c>
      <c r="F52" t="s">
        <v>37</v>
      </c>
      <c r="G52" t="s">
        <v>32</v>
      </c>
      <c r="H52" s="1">
        <v>45073</v>
      </c>
      <c r="I52" t="s">
        <v>100</v>
      </c>
      <c r="J52" t="s">
        <v>59</v>
      </c>
      <c r="K52" t="s">
        <v>71</v>
      </c>
      <c r="L52" s="3">
        <f>IF(Sales_Table[[#This Row],[Revenue]]=0,0,Sales_Table[[#This Row],[Revenue]]/Sales_Table[[#This Row],[Profit]])</f>
        <v>5.3926701570680624</v>
      </c>
    </row>
    <row r="53" spans="1:12" x14ac:dyDescent="0.5">
      <c r="A53" t="s">
        <v>97</v>
      </c>
      <c r="B53">
        <v>3090</v>
      </c>
      <c r="C53">
        <v>573</v>
      </c>
      <c r="D53">
        <v>6</v>
      </c>
      <c r="E53" t="s">
        <v>36</v>
      </c>
      <c r="F53" t="s">
        <v>37</v>
      </c>
      <c r="G53" t="s">
        <v>32</v>
      </c>
      <c r="H53" s="1">
        <v>44481</v>
      </c>
      <c r="I53" t="s">
        <v>101</v>
      </c>
      <c r="J53" t="s">
        <v>59</v>
      </c>
      <c r="K53" t="s">
        <v>60</v>
      </c>
      <c r="L53" s="3">
        <f>IF(Sales_Table[[#This Row],[Revenue]]=0,0,Sales_Table[[#This Row],[Revenue]]/Sales_Table[[#This Row],[Profit]])</f>
        <v>5.3926701570680624</v>
      </c>
    </row>
    <row r="54" spans="1:12" x14ac:dyDescent="0.5">
      <c r="A54" t="s">
        <v>97</v>
      </c>
      <c r="B54">
        <v>9683</v>
      </c>
      <c r="C54">
        <v>1014</v>
      </c>
      <c r="D54">
        <v>5</v>
      </c>
      <c r="E54" t="s">
        <v>10</v>
      </c>
      <c r="F54" t="s">
        <v>22</v>
      </c>
      <c r="G54" t="s">
        <v>12</v>
      </c>
      <c r="H54" s="1">
        <v>45653</v>
      </c>
      <c r="I54" t="s">
        <v>98</v>
      </c>
      <c r="J54" t="s">
        <v>34</v>
      </c>
      <c r="K54" t="s">
        <v>62</v>
      </c>
      <c r="L54" s="3">
        <f>IF(Sales_Table[[#This Row],[Revenue]]=0,0,Sales_Table[[#This Row],[Revenue]]/Sales_Table[[#This Row],[Profit]])</f>
        <v>9.5493096646942792</v>
      </c>
    </row>
    <row r="55" spans="1:12" x14ac:dyDescent="0.5">
      <c r="A55" t="s">
        <v>97</v>
      </c>
      <c r="B55">
        <v>9683</v>
      </c>
      <c r="C55">
        <v>1014</v>
      </c>
      <c r="D55">
        <v>5</v>
      </c>
      <c r="E55" t="s">
        <v>10</v>
      </c>
      <c r="F55" t="s">
        <v>22</v>
      </c>
      <c r="G55" t="s">
        <v>12</v>
      </c>
      <c r="H55" s="1">
        <v>44365</v>
      </c>
      <c r="I55" t="s">
        <v>99</v>
      </c>
      <c r="J55" t="s">
        <v>79</v>
      </c>
      <c r="K55" t="s">
        <v>86</v>
      </c>
      <c r="L55" s="3">
        <f>IF(Sales_Table[[#This Row],[Revenue]]=0,0,Sales_Table[[#This Row],[Revenue]]/Sales_Table[[#This Row],[Profit]])</f>
        <v>9.5493096646942792</v>
      </c>
    </row>
    <row r="56" spans="1:12" x14ac:dyDescent="0.5">
      <c r="A56" t="s">
        <v>97</v>
      </c>
      <c r="B56">
        <v>9683</v>
      </c>
      <c r="C56">
        <v>1014</v>
      </c>
      <c r="D56">
        <v>5</v>
      </c>
      <c r="E56" t="s">
        <v>10</v>
      </c>
      <c r="F56" t="s">
        <v>22</v>
      </c>
      <c r="G56" t="s">
        <v>12</v>
      </c>
      <c r="H56" s="1">
        <v>45073</v>
      </c>
      <c r="I56" t="s">
        <v>100</v>
      </c>
      <c r="J56" t="s">
        <v>59</v>
      </c>
      <c r="K56" t="s">
        <v>71</v>
      </c>
      <c r="L56" s="3">
        <f>IF(Sales_Table[[#This Row],[Revenue]]=0,0,Sales_Table[[#This Row],[Revenue]]/Sales_Table[[#This Row],[Profit]])</f>
        <v>9.5493096646942792</v>
      </c>
    </row>
    <row r="57" spans="1:12" x14ac:dyDescent="0.5">
      <c r="A57" t="s">
        <v>97</v>
      </c>
      <c r="B57">
        <v>9683</v>
      </c>
      <c r="C57">
        <v>1014</v>
      </c>
      <c r="D57">
        <v>5</v>
      </c>
      <c r="E57" t="s">
        <v>10</v>
      </c>
      <c r="F57" t="s">
        <v>22</v>
      </c>
      <c r="G57" t="s">
        <v>12</v>
      </c>
      <c r="H57" s="1">
        <v>44481</v>
      </c>
      <c r="I57" t="s">
        <v>101</v>
      </c>
      <c r="J57" t="s">
        <v>59</v>
      </c>
      <c r="K57" t="s">
        <v>60</v>
      </c>
      <c r="L57" s="3">
        <f>IF(Sales_Table[[#This Row],[Revenue]]=0,0,Sales_Table[[#This Row],[Revenue]]/Sales_Table[[#This Row],[Profit]])</f>
        <v>9.5493096646942792</v>
      </c>
    </row>
    <row r="58" spans="1:12" x14ac:dyDescent="0.5">
      <c r="A58" t="s">
        <v>102</v>
      </c>
      <c r="B58">
        <v>2463</v>
      </c>
      <c r="C58">
        <v>648</v>
      </c>
      <c r="D58">
        <v>18</v>
      </c>
      <c r="E58" t="s">
        <v>36</v>
      </c>
      <c r="F58" t="s">
        <v>37</v>
      </c>
      <c r="G58" t="s">
        <v>32</v>
      </c>
      <c r="H58" s="1">
        <v>44823</v>
      </c>
      <c r="I58" t="s">
        <v>103</v>
      </c>
      <c r="J58" t="s">
        <v>79</v>
      </c>
      <c r="K58" t="s">
        <v>86</v>
      </c>
      <c r="L58" s="3">
        <f>IF(Sales_Table[[#This Row],[Revenue]]=0,0,Sales_Table[[#This Row],[Revenue]]/Sales_Table[[#This Row],[Profit]])</f>
        <v>3.800925925925926</v>
      </c>
    </row>
    <row r="59" spans="1:12" x14ac:dyDescent="0.5">
      <c r="A59" t="s">
        <v>104</v>
      </c>
      <c r="B59">
        <v>7811</v>
      </c>
      <c r="C59">
        <v>1538</v>
      </c>
      <c r="D59">
        <v>12</v>
      </c>
      <c r="E59" t="s">
        <v>36</v>
      </c>
      <c r="F59" t="s">
        <v>48</v>
      </c>
      <c r="G59" t="s">
        <v>53</v>
      </c>
      <c r="H59" s="1">
        <v>44645</v>
      </c>
      <c r="I59" t="s">
        <v>105</v>
      </c>
      <c r="J59" t="s">
        <v>14</v>
      </c>
      <c r="K59" t="s">
        <v>15</v>
      </c>
      <c r="L59" s="3">
        <f>IF(Sales_Table[[#This Row],[Revenue]]=0,0,Sales_Table[[#This Row],[Revenue]]/Sales_Table[[#This Row],[Profit]])</f>
        <v>5.0786736020806238</v>
      </c>
    </row>
    <row r="60" spans="1:12" x14ac:dyDescent="0.5">
      <c r="A60" t="s">
        <v>106</v>
      </c>
      <c r="B60">
        <v>6139</v>
      </c>
      <c r="C60">
        <v>451</v>
      </c>
      <c r="D60">
        <v>10</v>
      </c>
      <c r="E60" t="s">
        <v>36</v>
      </c>
      <c r="F60" t="s">
        <v>37</v>
      </c>
      <c r="G60" t="s">
        <v>26</v>
      </c>
      <c r="H60" s="1">
        <v>44618</v>
      </c>
      <c r="I60" t="s">
        <v>107</v>
      </c>
      <c r="J60" t="s">
        <v>14</v>
      </c>
      <c r="K60" t="s">
        <v>28</v>
      </c>
      <c r="L60" s="3">
        <f>IF(Sales_Table[[#This Row],[Revenue]]=0,0,Sales_Table[[#This Row],[Revenue]]/Sales_Table[[#This Row],[Profit]])</f>
        <v>13.611973392461197</v>
      </c>
    </row>
    <row r="61" spans="1:12" x14ac:dyDescent="0.5">
      <c r="A61" t="s">
        <v>106</v>
      </c>
      <c r="B61">
        <v>6139</v>
      </c>
      <c r="C61">
        <v>451</v>
      </c>
      <c r="D61">
        <v>10</v>
      </c>
      <c r="E61" t="s">
        <v>36</v>
      </c>
      <c r="F61" t="s">
        <v>37</v>
      </c>
      <c r="G61" t="s">
        <v>26</v>
      </c>
      <c r="H61" s="1">
        <v>44291</v>
      </c>
      <c r="I61" t="s">
        <v>74</v>
      </c>
      <c r="J61" t="s">
        <v>59</v>
      </c>
      <c r="K61" t="s">
        <v>108</v>
      </c>
      <c r="L61" s="3">
        <f>IF(Sales_Table[[#This Row],[Revenue]]=0,0,Sales_Table[[#This Row],[Revenue]]/Sales_Table[[#This Row],[Profit]])</f>
        <v>13.611973392461197</v>
      </c>
    </row>
    <row r="62" spans="1:12" x14ac:dyDescent="0.5">
      <c r="A62" t="s">
        <v>106</v>
      </c>
      <c r="B62">
        <v>8636</v>
      </c>
      <c r="C62">
        <v>3192</v>
      </c>
      <c r="D62">
        <v>3</v>
      </c>
      <c r="E62" t="s">
        <v>36</v>
      </c>
      <c r="F62" t="s">
        <v>40</v>
      </c>
      <c r="G62" t="s">
        <v>53</v>
      </c>
      <c r="H62" s="1">
        <v>44618</v>
      </c>
      <c r="I62" t="s">
        <v>107</v>
      </c>
      <c r="J62" t="s">
        <v>14</v>
      </c>
      <c r="K62" t="s">
        <v>28</v>
      </c>
      <c r="L62" s="3">
        <f>IF(Sales_Table[[#This Row],[Revenue]]=0,0,Sales_Table[[#This Row],[Revenue]]/Sales_Table[[#This Row],[Profit]])</f>
        <v>2.7055137844611528</v>
      </c>
    </row>
    <row r="63" spans="1:12" x14ac:dyDescent="0.5">
      <c r="A63" t="s">
        <v>106</v>
      </c>
      <c r="B63">
        <v>8636</v>
      </c>
      <c r="C63">
        <v>3192</v>
      </c>
      <c r="D63">
        <v>3</v>
      </c>
      <c r="E63" t="s">
        <v>36</v>
      </c>
      <c r="F63" t="s">
        <v>40</v>
      </c>
      <c r="G63" t="s">
        <v>53</v>
      </c>
      <c r="H63" s="1">
        <v>44291</v>
      </c>
      <c r="I63" t="s">
        <v>74</v>
      </c>
      <c r="J63" t="s">
        <v>59</v>
      </c>
      <c r="K63" t="s">
        <v>108</v>
      </c>
      <c r="L63" s="3">
        <f>IF(Sales_Table[[#This Row],[Revenue]]=0,0,Sales_Table[[#This Row],[Revenue]]/Sales_Table[[#This Row],[Profit]])</f>
        <v>2.7055137844611528</v>
      </c>
    </row>
    <row r="64" spans="1:12" x14ac:dyDescent="0.5">
      <c r="A64" t="s">
        <v>106</v>
      </c>
      <c r="B64">
        <v>4439</v>
      </c>
      <c r="C64">
        <v>1712</v>
      </c>
      <c r="D64">
        <v>19</v>
      </c>
      <c r="E64" t="s">
        <v>36</v>
      </c>
      <c r="F64" t="s">
        <v>48</v>
      </c>
      <c r="G64" t="s">
        <v>38</v>
      </c>
      <c r="H64" s="1">
        <v>44618</v>
      </c>
      <c r="I64" t="s">
        <v>107</v>
      </c>
      <c r="J64" t="s">
        <v>14</v>
      </c>
      <c r="K64" t="s">
        <v>28</v>
      </c>
      <c r="L64" s="3">
        <f>IF(Sales_Table[[#This Row],[Revenue]]=0,0,Sales_Table[[#This Row],[Revenue]]/Sales_Table[[#This Row],[Profit]])</f>
        <v>2.5928738317757007</v>
      </c>
    </row>
    <row r="65" spans="1:12" x14ac:dyDescent="0.5">
      <c r="A65" t="s">
        <v>106</v>
      </c>
      <c r="B65">
        <v>4439</v>
      </c>
      <c r="C65">
        <v>1712</v>
      </c>
      <c r="D65">
        <v>19</v>
      </c>
      <c r="E65" t="s">
        <v>36</v>
      </c>
      <c r="F65" t="s">
        <v>48</v>
      </c>
      <c r="G65" t="s">
        <v>38</v>
      </c>
      <c r="H65" s="1">
        <v>44291</v>
      </c>
      <c r="I65" t="s">
        <v>74</v>
      </c>
      <c r="J65" t="s">
        <v>59</v>
      </c>
      <c r="K65" t="s">
        <v>108</v>
      </c>
      <c r="L65" s="3">
        <f>IF(Sales_Table[[#This Row],[Revenue]]=0,0,Sales_Table[[#This Row],[Revenue]]/Sales_Table[[#This Row],[Profit]])</f>
        <v>2.5928738317757007</v>
      </c>
    </row>
    <row r="66" spans="1:12" x14ac:dyDescent="0.5">
      <c r="A66" t="s">
        <v>109</v>
      </c>
      <c r="B66">
        <v>1016</v>
      </c>
      <c r="C66">
        <v>172</v>
      </c>
      <c r="D66">
        <v>20</v>
      </c>
      <c r="E66" t="s">
        <v>36</v>
      </c>
      <c r="F66" t="s">
        <v>37</v>
      </c>
      <c r="G66" t="s">
        <v>26</v>
      </c>
      <c r="H66" s="1">
        <v>44151</v>
      </c>
      <c r="I66" t="s">
        <v>110</v>
      </c>
      <c r="J66" t="s">
        <v>20</v>
      </c>
      <c r="K66" t="s">
        <v>21</v>
      </c>
      <c r="L66" s="3">
        <f>IF(Sales_Table[[#This Row],[Revenue]]=0,0,Sales_Table[[#This Row],[Revenue]]/Sales_Table[[#This Row],[Profit]])</f>
        <v>5.9069767441860463</v>
      </c>
    </row>
    <row r="67" spans="1:12" x14ac:dyDescent="0.5">
      <c r="A67" t="s">
        <v>109</v>
      </c>
      <c r="B67">
        <v>5768</v>
      </c>
      <c r="C67">
        <v>2059</v>
      </c>
      <c r="D67">
        <v>14</v>
      </c>
      <c r="E67" t="s">
        <v>36</v>
      </c>
      <c r="F67" t="s">
        <v>37</v>
      </c>
      <c r="G67" t="s">
        <v>12</v>
      </c>
      <c r="H67" s="1">
        <v>44151</v>
      </c>
      <c r="I67" t="s">
        <v>110</v>
      </c>
      <c r="J67" t="s">
        <v>20</v>
      </c>
      <c r="K67" t="s">
        <v>21</v>
      </c>
      <c r="L67" s="3">
        <f>IF(Sales_Table[[#This Row],[Revenue]]=0,0,Sales_Table[[#This Row],[Revenue]]/Sales_Table[[#This Row],[Profit]])</f>
        <v>2.8013598834385625</v>
      </c>
    </row>
    <row r="68" spans="1:12" x14ac:dyDescent="0.5">
      <c r="A68" t="s">
        <v>109</v>
      </c>
      <c r="B68">
        <v>1217</v>
      </c>
      <c r="C68">
        <v>151</v>
      </c>
      <c r="D68">
        <v>3</v>
      </c>
      <c r="E68" t="s">
        <v>36</v>
      </c>
      <c r="F68" t="s">
        <v>37</v>
      </c>
      <c r="G68" t="s">
        <v>38</v>
      </c>
      <c r="H68" s="1">
        <v>44151</v>
      </c>
      <c r="I68" t="s">
        <v>110</v>
      </c>
      <c r="J68" t="s">
        <v>20</v>
      </c>
      <c r="K68" t="s">
        <v>21</v>
      </c>
      <c r="L68" s="3">
        <f>IF(Sales_Table[[#This Row],[Revenue]]=0,0,Sales_Table[[#This Row],[Revenue]]/Sales_Table[[#This Row],[Profit]])</f>
        <v>8.0596026490066226</v>
      </c>
    </row>
    <row r="69" spans="1:12" x14ac:dyDescent="0.5">
      <c r="A69" t="s">
        <v>111</v>
      </c>
      <c r="B69">
        <v>953</v>
      </c>
      <c r="C69">
        <v>93</v>
      </c>
      <c r="D69">
        <v>2</v>
      </c>
      <c r="E69" t="s">
        <v>24</v>
      </c>
      <c r="F69" t="s">
        <v>52</v>
      </c>
      <c r="G69" t="s">
        <v>26</v>
      </c>
      <c r="H69" s="1">
        <v>45638</v>
      </c>
      <c r="I69" t="s">
        <v>112</v>
      </c>
      <c r="J69" t="s">
        <v>79</v>
      </c>
      <c r="K69" t="s">
        <v>94</v>
      </c>
      <c r="L69" s="3">
        <f>IF(Sales_Table[[#This Row],[Revenue]]=0,0,Sales_Table[[#This Row],[Revenue]]/Sales_Table[[#This Row],[Profit]])</f>
        <v>10.24731182795699</v>
      </c>
    </row>
    <row r="70" spans="1:12" x14ac:dyDescent="0.5">
      <c r="A70" t="s">
        <v>111</v>
      </c>
      <c r="B70">
        <v>953</v>
      </c>
      <c r="C70">
        <v>93</v>
      </c>
      <c r="D70">
        <v>2</v>
      </c>
      <c r="E70" t="s">
        <v>24</v>
      </c>
      <c r="F70" t="s">
        <v>52</v>
      </c>
      <c r="G70" t="s">
        <v>26</v>
      </c>
      <c r="H70" s="1">
        <v>45022</v>
      </c>
      <c r="I70" t="s">
        <v>113</v>
      </c>
      <c r="J70" t="s">
        <v>34</v>
      </c>
      <c r="K70" t="s">
        <v>35</v>
      </c>
      <c r="L70" s="3">
        <f>IF(Sales_Table[[#This Row],[Revenue]]=0,0,Sales_Table[[#This Row],[Revenue]]/Sales_Table[[#This Row],[Profit]])</f>
        <v>10.24731182795699</v>
      </c>
    </row>
    <row r="71" spans="1:12" x14ac:dyDescent="0.5">
      <c r="A71" t="s">
        <v>111</v>
      </c>
      <c r="B71">
        <v>7355</v>
      </c>
      <c r="C71">
        <v>1034</v>
      </c>
      <c r="D71">
        <v>3</v>
      </c>
      <c r="E71" t="s">
        <v>36</v>
      </c>
      <c r="F71" t="s">
        <v>48</v>
      </c>
      <c r="G71" t="s">
        <v>53</v>
      </c>
      <c r="H71" s="1">
        <v>45638</v>
      </c>
      <c r="I71" t="s">
        <v>112</v>
      </c>
      <c r="J71" t="s">
        <v>79</v>
      </c>
      <c r="K71" t="s">
        <v>94</v>
      </c>
      <c r="L71" s="3">
        <f>IF(Sales_Table[[#This Row],[Revenue]]=0,0,Sales_Table[[#This Row],[Revenue]]/Sales_Table[[#This Row],[Profit]])</f>
        <v>7.1131528046421666</v>
      </c>
    </row>
    <row r="72" spans="1:12" x14ac:dyDescent="0.5">
      <c r="A72" t="s">
        <v>111</v>
      </c>
      <c r="B72">
        <v>7355</v>
      </c>
      <c r="C72">
        <v>1034</v>
      </c>
      <c r="D72">
        <v>3</v>
      </c>
      <c r="E72" t="s">
        <v>36</v>
      </c>
      <c r="F72" t="s">
        <v>48</v>
      </c>
      <c r="G72" t="s">
        <v>53</v>
      </c>
      <c r="H72" s="1">
        <v>45022</v>
      </c>
      <c r="I72" t="s">
        <v>113</v>
      </c>
      <c r="J72" t="s">
        <v>34</v>
      </c>
      <c r="K72" t="s">
        <v>35</v>
      </c>
      <c r="L72" s="3">
        <f>IF(Sales_Table[[#This Row],[Revenue]]=0,0,Sales_Table[[#This Row],[Revenue]]/Sales_Table[[#This Row],[Profit]])</f>
        <v>7.1131528046421666</v>
      </c>
    </row>
    <row r="73" spans="1:12" x14ac:dyDescent="0.5">
      <c r="A73" t="s">
        <v>111</v>
      </c>
      <c r="B73">
        <v>1843</v>
      </c>
      <c r="C73">
        <v>248</v>
      </c>
      <c r="D73">
        <v>3</v>
      </c>
      <c r="E73" t="s">
        <v>10</v>
      </c>
      <c r="F73" t="s">
        <v>67</v>
      </c>
      <c r="G73" t="s">
        <v>38</v>
      </c>
      <c r="H73" s="1">
        <v>45638</v>
      </c>
      <c r="I73" t="s">
        <v>112</v>
      </c>
      <c r="J73" t="s">
        <v>79</v>
      </c>
      <c r="K73" t="s">
        <v>94</v>
      </c>
      <c r="L73" s="3">
        <f>IF(Sales_Table[[#This Row],[Revenue]]=0,0,Sales_Table[[#This Row],[Revenue]]/Sales_Table[[#This Row],[Profit]])</f>
        <v>7.431451612903226</v>
      </c>
    </row>
    <row r="74" spans="1:12" x14ac:dyDescent="0.5">
      <c r="A74" t="s">
        <v>111</v>
      </c>
      <c r="B74">
        <v>1843</v>
      </c>
      <c r="C74">
        <v>248</v>
      </c>
      <c r="D74">
        <v>3</v>
      </c>
      <c r="E74" t="s">
        <v>10</v>
      </c>
      <c r="F74" t="s">
        <v>67</v>
      </c>
      <c r="G74" t="s">
        <v>38</v>
      </c>
      <c r="H74" s="1">
        <v>45022</v>
      </c>
      <c r="I74" t="s">
        <v>113</v>
      </c>
      <c r="J74" t="s">
        <v>34</v>
      </c>
      <c r="K74" t="s">
        <v>35</v>
      </c>
      <c r="L74" s="3">
        <f>IF(Sales_Table[[#This Row],[Revenue]]=0,0,Sales_Table[[#This Row],[Revenue]]/Sales_Table[[#This Row],[Profit]])</f>
        <v>7.431451612903226</v>
      </c>
    </row>
    <row r="75" spans="1:12" x14ac:dyDescent="0.5">
      <c r="A75" t="s">
        <v>111</v>
      </c>
      <c r="B75">
        <v>1603</v>
      </c>
      <c r="C75">
        <v>361</v>
      </c>
      <c r="D75">
        <v>10</v>
      </c>
      <c r="E75" t="s">
        <v>24</v>
      </c>
      <c r="F75" t="s">
        <v>25</v>
      </c>
      <c r="G75" t="s">
        <v>26</v>
      </c>
      <c r="H75" s="1">
        <v>45638</v>
      </c>
      <c r="I75" t="s">
        <v>112</v>
      </c>
      <c r="J75" t="s">
        <v>79</v>
      </c>
      <c r="K75" t="s">
        <v>94</v>
      </c>
      <c r="L75" s="3">
        <f>IF(Sales_Table[[#This Row],[Revenue]]=0,0,Sales_Table[[#This Row],[Revenue]]/Sales_Table[[#This Row],[Profit]])</f>
        <v>4.4404432132963985</v>
      </c>
    </row>
    <row r="76" spans="1:12" x14ac:dyDescent="0.5">
      <c r="A76" t="s">
        <v>111</v>
      </c>
      <c r="B76">
        <v>1603</v>
      </c>
      <c r="C76">
        <v>361</v>
      </c>
      <c r="D76">
        <v>10</v>
      </c>
      <c r="E76" t="s">
        <v>24</v>
      </c>
      <c r="F76" t="s">
        <v>25</v>
      </c>
      <c r="G76" t="s">
        <v>26</v>
      </c>
      <c r="H76" s="1">
        <v>45022</v>
      </c>
      <c r="I76" t="s">
        <v>113</v>
      </c>
      <c r="J76" t="s">
        <v>34</v>
      </c>
      <c r="K76" t="s">
        <v>35</v>
      </c>
      <c r="L76" s="3">
        <f>IF(Sales_Table[[#This Row],[Revenue]]=0,0,Sales_Table[[#This Row],[Revenue]]/Sales_Table[[#This Row],[Profit]])</f>
        <v>4.4404432132963985</v>
      </c>
    </row>
    <row r="77" spans="1:12" x14ac:dyDescent="0.5">
      <c r="A77" t="s">
        <v>114</v>
      </c>
      <c r="B77">
        <v>2025</v>
      </c>
      <c r="C77">
        <v>528</v>
      </c>
      <c r="D77">
        <v>1</v>
      </c>
      <c r="E77" t="s">
        <v>24</v>
      </c>
      <c r="F77" t="s">
        <v>25</v>
      </c>
      <c r="G77" t="s">
        <v>38</v>
      </c>
      <c r="H77" s="1">
        <v>45319</v>
      </c>
      <c r="I77" t="s">
        <v>115</v>
      </c>
      <c r="J77" t="s">
        <v>14</v>
      </c>
      <c r="K77" t="s">
        <v>15</v>
      </c>
      <c r="L77" s="3">
        <f>IF(Sales_Table[[#This Row],[Revenue]]=0,0,Sales_Table[[#This Row],[Revenue]]/Sales_Table[[#This Row],[Profit]])</f>
        <v>3.8352272727272729</v>
      </c>
    </row>
    <row r="78" spans="1:12" x14ac:dyDescent="0.5">
      <c r="A78" t="s">
        <v>114</v>
      </c>
      <c r="B78">
        <v>6800</v>
      </c>
      <c r="C78">
        <v>167</v>
      </c>
      <c r="D78">
        <v>16</v>
      </c>
      <c r="E78" t="s">
        <v>24</v>
      </c>
      <c r="F78" t="s">
        <v>64</v>
      </c>
      <c r="G78" t="s">
        <v>32</v>
      </c>
      <c r="H78" s="1">
        <v>45319</v>
      </c>
      <c r="I78" t="s">
        <v>115</v>
      </c>
      <c r="J78" t="s">
        <v>14</v>
      </c>
      <c r="K78" t="s">
        <v>15</v>
      </c>
      <c r="L78" s="3">
        <f>IF(Sales_Table[[#This Row],[Revenue]]=0,0,Sales_Table[[#This Row],[Revenue]]/Sales_Table[[#This Row],[Profit]])</f>
        <v>40.718562874251496</v>
      </c>
    </row>
    <row r="79" spans="1:12" x14ac:dyDescent="0.5">
      <c r="A79" t="s">
        <v>116</v>
      </c>
      <c r="B79">
        <v>1126</v>
      </c>
      <c r="C79">
        <v>55</v>
      </c>
      <c r="D79">
        <v>1</v>
      </c>
      <c r="E79" t="s">
        <v>36</v>
      </c>
      <c r="F79" t="s">
        <v>87</v>
      </c>
      <c r="G79" t="s">
        <v>12</v>
      </c>
      <c r="H79" s="1">
        <v>44577</v>
      </c>
      <c r="I79" t="s">
        <v>117</v>
      </c>
      <c r="J79" t="s">
        <v>14</v>
      </c>
      <c r="K79" t="s">
        <v>118</v>
      </c>
      <c r="L79" s="3">
        <f>IF(Sales_Table[[#This Row],[Revenue]]=0,0,Sales_Table[[#This Row],[Revenue]]/Sales_Table[[#This Row],[Profit]])</f>
        <v>20.472727272727273</v>
      </c>
    </row>
    <row r="80" spans="1:12" x14ac:dyDescent="0.5">
      <c r="A80" t="s">
        <v>116</v>
      </c>
      <c r="B80">
        <v>1126</v>
      </c>
      <c r="C80">
        <v>55</v>
      </c>
      <c r="D80">
        <v>1</v>
      </c>
      <c r="E80" t="s">
        <v>36</v>
      </c>
      <c r="F80" t="s">
        <v>87</v>
      </c>
      <c r="G80" t="s">
        <v>12</v>
      </c>
      <c r="H80" s="1">
        <v>44911</v>
      </c>
      <c r="I80" t="s">
        <v>119</v>
      </c>
      <c r="J80" t="s">
        <v>20</v>
      </c>
      <c r="K80" t="s">
        <v>21</v>
      </c>
      <c r="L80" s="3">
        <f>IF(Sales_Table[[#This Row],[Revenue]]=0,0,Sales_Table[[#This Row],[Revenue]]/Sales_Table[[#This Row],[Profit]])</f>
        <v>20.472727272727273</v>
      </c>
    </row>
    <row r="81" spans="1:12" x14ac:dyDescent="0.5">
      <c r="A81" t="s">
        <v>120</v>
      </c>
      <c r="B81">
        <v>7533</v>
      </c>
      <c r="C81">
        <v>3508</v>
      </c>
      <c r="D81">
        <v>12</v>
      </c>
      <c r="E81" t="s">
        <v>36</v>
      </c>
      <c r="F81" t="s">
        <v>37</v>
      </c>
      <c r="G81" t="s">
        <v>12</v>
      </c>
      <c r="H81" s="1">
        <v>45120</v>
      </c>
      <c r="I81" t="s">
        <v>121</v>
      </c>
      <c r="J81" t="s">
        <v>34</v>
      </c>
      <c r="K81" t="s">
        <v>62</v>
      </c>
      <c r="L81" s="3">
        <f>IF(Sales_Table[[#This Row],[Revenue]]=0,0,Sales_Table[[#This Row],[Revenue]]/Sales_Table[[#This Row],[Profit]])</f>
        <v>2.1473774230330673</v>
      </c>
    </row>
    <row r="82" spans="1:12" x14ac:dyDescent="0.5">
      <c r="A82" t="s">
        <v>120</v>
      </c>
      <c r="B82">
        <v>4734</v>
      </c>
      <c r="C82">
        <v>1178</v>
      </c>
      <c r="D82">
        <v>16</v>
      </c>
      <c r="E82" t="s">
        <v>24</v>
      </c>
      <c r="F82" t="s">
        <v>64</v>
      </c>
      <c r="G82" t="s">
        <v>38</v>
      </c>
      <c r="H82" s="1">
        <v>45120</v>
      </c>
      <c r="I82" t="s">
        <v>121</v>
      </c>
      <c r="J82" t="s">
        <v>34</v>
      </c>
      <c r="K82" t="s">
        <v>62</v>
      </c>
      <c r="L82" s="3">
        <f>IF(Sales_Table[[#This Row],[Revenue]]=0,0,Sales_Table[[#This Row],[Revenue]]/Sales_Table[[#This Row],[Profit]])</f>
        <v>4.0186757215619693</v>
      </c>
    </row>
    <row r="83" spans="1:12" x14ac:dyDescent="0.5">
      <c r="A83" t="s">
        <v>120</v>
      </c>
      <c r="B83">
        <v>4074</v>
      </c>
      <c r="C83">
        <v>1175</v>
      </c>
      <c r="D83">
        <v>6</v>
      </c>
      <c r="E83" t="s">
        <v>10</v>
      </c>
      <c r="F83" t="s">
        <v>11</v>
      </c>
      <c r="G83" t="s">
        <v>26</v>
      </c>
      <c r="H83" s="1">
        <v>45120</v>
      </c>
      <c r="I83" t="s">
        <v>121</v>
      </c>
      <c r="J83" t="s">
        <v>34</v>
      </c>
      <c r="K83" t="s">
        <v>62</v>
      </c>
      <c r="L83" s="3">
        <f>IF(Sales_Table[[#This Row],[Revenue]]=0,0,Sales_Table[[#This Row],[Revenue]]/Sales_Table[[#This Row],[Profit]])</f>
        <v>3.4672340425531916</v>
      </c>
    </row>
    <row r="84" spans="1:12" x14ac:dyDescent="0.5">
      <c r="A84" t="s">
        <v>120</v>
      </c>
      <c r="B84">
        <v>2334</v>
      </c>
      <c r="C84">
        <v>484</v>
      </c>
      <c r="D84">
        <v>3</v>
      </c>
      <c r="E84" t="s">
        <v>36</v>
      </c>
      <c r="F84" t="s">
        <v>48</v>
      </c>
      <c r="G84" t="s">
        <v>38</v>
      </c>
      <c r="H84" s="1">
        <v>45120</v>
      </c>
      <c r="I84" t="s">
        <v>121</v>
      </c>
      <c r="J84" t="s">
        <v>34</v>
      </c>
      <c r="K84" t="s">
        <v>62</v>
      </c>
      <c r="L84" s="3">
        <f>IF(Sales_Table[[#This Row],[Revenue]]=0,0,Sales_Table[[#This Row],[Revenue]]/Sales_Table[[#This Row],[Profit]])</f>
        <v>4.8223140495867769</v>
      </c>
    </row>
    <row r="85" spans="1:12" x14ac:dyDescent="0.5">
      <c r="A85" t="s">
        <v>122</v>
      </c>
      <c r="B85">
        <v>2750</v>
      </c>
      <c r="C85">
        <v>1239</v>
      </c>
      <c r="D85">
        <v>11</v>
      </c>
      <c r="E85" t="s">
        <v>10</v>
      </c>
      <c r="F85" t="s">
        <v>67</v>
      </c>
      <c r="G85" t="s">
        <v>26</v>
      </c>
      <c r="H85" s="1">
        <v>45726</v>
      </c>
      <c r="I85" t="s">
        <v>123</v>
      </c>
      <c r="J85" t="s">
        <v>20</v>
      </c>
      <c r="K85" t="s">
        <v>21</v>
      </c>
      <c r="L85" s="3">
        <f>IF(Sales_Table[[#This Row],[Revenue]]=0,0,Sales_Table[[#This Row],[Revenue]]/Sales_Table[[#This Row],[Profit]])</f>
        <v>2.2195318805488298</v>
      </c>
    </row>
    <row r="86" spans="1:12" x14ac:dyDescent="0.5">
      <c r="A86" t="s">
        <v>122</v>
      </c>
      <c r="B86">
        <v>2750</v>
      </c>
      <c r="C86">
        <v>1239</v>
      </c>
      <c r="D86">
        <v>11</v>
      </c>
      <c r="E86" t="s">
        <v>10</v>
      </c>
      <c r="F86" t="s">
        <v>67</v>
      </c>
      <c r="G86" t="s">
        <v>26</v>
      </c>
      <c r="H86" s="1">
        <v>45559</v>
      </c>
      <c r="I86" t="s">
        <v>124</v>
      </c>
      <c r="J86" t="s">
        <v>79</v>
      </c>
      <c r="K86" t="s">
        <v>94</v>
      </c>
      <c r="L86" s="3">
        <f>IF(Sales_Table[[#This Row],[Revenue]]=0,0,Sales_Table[[#This Row],[Revenue]]/Sales_Table[[#This Row],[Profit]])</f>
        <v>2.2195318805488298</v>
      </c>
    </row>
    <row r="87" spans="1:12" x14ac:dyDescent="0.5">
      <c r="A87" t="s">
        <v>122</v>
      </c>
      <c r="B87">
        <v>8639</v>
      </c>
      <c r="C87">
        <v>3104</v>
      </c>
      <c r="D87">
        <v>19</v>
      </c>
      <c r="E87" t="s">
        <v>24</v>
      </c>
      <c r="F87" t="s">
        <v>25</v>
      </c>
      <c r="G87" t="s">
        <v>32</v>
      </c>
      <c r="H87" s="1">
        <v>45726</v>
      </c>
      <c r="I87" t="s">
        <v>123</v>
      </c>
      <c r="J87" t="s">
        <v>20</v>
      </c>
      <c r="K87" t="s">
        <v>21</v>
      </c>
      <c r="L87" s="3">
        <f>IF(Sales_Table[[#This Row],[Revenue]]=0,0,Sales_Table[[#This Row],[Revenue]]/Sales_Table[[#This Row],[Profit]])</f>
        <v>2.7831829896907219</v>
      </c>
    </row>
    <row r="88" spans="1:12" x14ac:dyDescent="0.5">
      <c r="A88" t="s">
        <v>122</v>
      </c>
      <c r="B88">
        <v>8639</v>
      </c>
      <c r="C88">
        <v>3104</v>
      </c>
      <c r="D88">
        <v>19</v>
      </c>
      <c r="E88" t="s">
        <v>24</v>
      </c>
      <c r="F88" t="s">
        <v>25</v>
      </c>
      <c r="G88" t="s">
        <v>32</v>
      </c>
      <c r="H88" s="1">
        <v>45559</v>
      </c>
      <c r="I88" t="s">
        <v>124</v>
      </c>
      <c r="J88" t="s">
        <v>79</v>
      </c>
      <c r="K88" t="s">
        <v>94</v>
      </c>
      <c r="L88" s="3">
        <f>IF(Sales_Table[[#This Row],[Revenue]]=0,0,Sales_Table[[#This Row],[Revenue]]/Sales_Table[[#This Row],[Profit]])</f>
        <v>2.7831829896907219</v>
      </c>
    </row>
    <row r="89" spans="1:12" x14ac:dyDescent="0.5">
      <c r="A89" t="s">
        <v>125</v>
      </c>
      <c r="B89">
        <v>3808</v>
      </c>
      <c r="C89">
        <v>1192</v>
      </c>
      <c r="D89">
        <v>4</v>
      </c>
      <c r="E89" t="s">
        <v>24</v>
      </c>
      <c r="F89" t="s">
        <v>46</v>
      </c>
      <c r="G89" t="s">
        <v>12</v>
      </c>
      <c r="H89" s="1">
        <v>43934</v>
      </c>
      <c r="I89" t="s">
        <v>126</v>
      </c>
      <c r="J89" t="s">
        <v>20</v>
      </c>
      <c r="K89" t="s">
        <v>42</v>
      </c>
      <c r="L89" s="3">
        <f>IF(Sales_Table[[#This Row],[Revenue]]=0,0,Sales_Table[[#This Row],[Revenue]]/Sales_Table[[#This Row],[Profit]])</f>
        <v>3.1946308724832213</v>
      </c>
    </row>
    <row r="90" spans="1:12" x14ac:dyDescent="0.5">
      <c r="A90" t="s">
        <v>125</v>
      </c>
      <c r="B90">
        <v>2588</v>
      </c>
      <c r="C90">
        <v>705</v>
      </c>
      <c r="D90">
        <v>16</v>
      </c>
      <c r="E90" t="s">
        <v>24</v>
      </c>
      <c r="F90" t="s">
        <v>25</v>
      </c>
      <c r="G90" t="s">
        <v>38</v>
      </c>
      <c r="H90" s="1">
        <v>43934</v>
      </c>
      <c r="I90" t="s">
        <v>126</v>
      </c>
      <c r="J90" t="s">
        <v>20</v>
      </c>
      <c r="K90" t="s">
        <v>42</v>
      </c>
      <c r="L90" s="3">
        <f>IF(Sales_Table[[#This Row],[Revenue]]=0,0,Sales_Table[[#This Row],[Revenue]]/Sales_Table[[#This Row],[Profit]])</f>
        <v>3.6709219858156028</v>
      </c>
    </row>
    <row r="91" spans="1:12" x14ac:dyDescent="0.5">
      <c r="A91" t="s">
        <v>127</v>
      </c>
      <c r="B91">
        <v>1591</v>
      </c>
      <c r="C91">
        <v>727</v>
      </c>
      <c r="D91">
        <v>5</v>
      </c>
      <c r="E91" t="s">
        <v>10</v>
      </c>
      <c r="F91" t="s">
        <v>11</v>
      </c>
      <c r="G91" t="s">
        <v>38</v>
      </c>
      <c r="H91" s="1">
        <v>44739</v>
      </c>
      <c r="I91" t="s">
        <v>128</v>
      </c>
      <c r="J91" t="s">
        <v>17</v>
      </c>
      <c r="K91" t="s">
        <v>51</v>
      </c>
      <c r="L91" s="3">
        <f>IF(Sales_Table[[#This Row],[Revenue]]=0,0,Sales_Table[[#This Row],[Revenue]]/Sales_Table[[#This Row],[Profit]])</f>
        <v>2.1884456671251717</v>
      </c>
    </row>
    <row r="92" spans="1:12" x14ac:dyDescent="0.5">
      <c r="A92" t="s">
        <v>127</v>
      </c>
      <c r="B92">
        <v>1591</v>
      </c>
      <c r="C92">
        <v>727</v>
      </c>
      <c r="D92">
        <v>5</v>
      </c>
      <c r="E92" t="s">
        <v>10</v>
      </c>
      <c r="F92" t="s">
        <v>11</v>
      </c>
      <c r="G92" t="s">
        <v>38</v>
      </c>
      <c r="H92" s="1">
        <v>44269</v>
      </c>
      <c r="I92" t="s">
        <v>129</v>
      </c>
      <c r="J92" t="s">
        <v>14</v>
      </c>
      <c r="K92" t="s">
        <v>118</v>
      </c>
      <c r="L92" s="3">
        <f>IF(Sales_Table[[#This Row],[Revenue]]=0,0,Sales_Table[[#This Row],[Revenue]]/Sales_Table[[#This Row],[Profit]])</f>
        <v>2.1884456671251717</v>
      </c>
    </row>
    <row r="93" spans="1:12" x14ac:dyDescent="0.5">
      <c r="A93" t="s">
        <v>127</v>
      </c>
      <c r="B93">
        <v>1591</v>
      </c>
      <c r="C93">
        <v>727</v>
      </c>
      <c r="D93">
        <v>5</v>
      </c>
      <c r="E93" t="s">
        <v>10</v>
      </c>
      <c r="F93" t="s">
        <v>11</v>
      </c>
      <c r="G93" t="s">
        <v>38</v>
      </c>
      <c r="H93" s="1">
        <v>44615</v>
      </c>
      <c r="I93" t="s">
        <v>130</v>
      </c>
      <c r="J93" t="s">
        <v>79</v>
      </c>
      <c r="K93" t="s">
        <v>86</v>
      </c>
      <c r="L93" s="3">
        <f>IF(Sales_Table[[#This Row],[Revenue]]=0,0,Sales_Table[[#This Row],[Revenue]]/Sales_Table[[#This Row],[Profit]])</f>
        <v>2.1884456671251717</v>
      </c>
    </row>
    <row r="94" spans="1:12" x14ac:dyDescent="0.5">
      <c r="A94" t="s">
        <v>131</v>
      </c>
      <c r="B94">
        <v>1757</v>
      </c>
      <c r="C94">
        <v>622</v>
      </c>
      <c r="D94">
        <v>10</v>
      </c>
      <c r="E94" t="s">
        <v>36</v>
      </c>
      <c r="F94" t="s">
        <v>40</v>
      </c>
      <c r="G94" t="s">
        <v>12</v>
      </c>
      <c r="H94" s="1">
        <v>44649</v>
      </c>
      <c r="I94" t="s">
        <v>132</v>
      </c>
      <c r="J94" t="s">
        <v>79</v>
      </c>
      <c r="K94" t="s">
        <v>94</v>
      </c>
      <c r="L94" s="3">
        <f>IF(Sales_Table[[#This Row],[Revenue]]=0,0,Sales_Table[[#This Row],[Revenue]]/Sales_Table[[#This Row],[Profit]])</f>
        <v>2.82475884244373</v>
      </c>
    </row>
    <row r="95" spans="1:12" x14ac:dyDescent="0.5">
      <c r="A95" t="s">
        <v>131</v>
      </c>
      <c r="B95">
        <v>1757</v>
      </c>
      <c r="C95">
        <v>622</v>
      </c>
      <c r="D95">
        <v>10</v>
      </c>
      <c r="E95" t="s">
        <v>36</v>
      </c>
      <c r="F95" t="s">
        <v>40</v>
      </c>
      <c r="G95" t="s">
        <v>12</v>
      </c>
      <c r="H95" s="1">
        <v>44885</v>
      </c>
      <c r="I95" t="s">
        <v>133</v>
      </c>
      <c r="J95" t="s">
        <v>17</v>
      </c>
      <c r="K95" t="s">
        <v>134</v>
      </c>
      <c r="L95" s="3">
        <f>IF(Sales_Table[[#This Row],[Revenue]]=0,0,Sales_Table[[#This Row],[Revenue]]/Sales_Table[[#This Row],[Profit]])</f>
        <v>2.82475884244373</v>
      </c>
    </row>
    <row r="96" spans="1:12" x14ac:dyDescent="0.5">
      <c r="A96" t="s">
        <v>135</v>
      </c>
      <c r="B96">
        <v>6940</v>
      </c>
      <c r="C96">
        <v>253</v>
      </c>
      <c r="D96">
        <v>15</v>
      </c>
      <c r="E96" t="s">
        <v>36</v>
      </c>
      <c r="F96" t="s">
        <v>87</v>
      </c>
      <c r="G96" t="s">
        <v>26</v>
      </c>
      <c r="H96" s="1">
        <v>44512</v>
      </c>
      <c r="I96" t="s">
        <v>136</v>
      </c>
      <c r="J96" t="s">
        <v>14</v>
      </c>
      <c r="K96" t="s">
        <v>28</v>
      </c>
      <c r="L96" s="3">
        <f>IF(Sales_Table[[#This Row],[Revenue]]=0,0,Sales_Table[[#This Row],[Revenue]]/Sales_Table[[#This Row],[Profit]])</f>
        <v>27.430830039525691</v>
      </c>
    </row>
    <row r="97" spans="1:12" x14ac:dyDescent="0.5">
      <c r="A97" t="s">
        <v>135</v>
      </c>
      <c r="B97">
        <v>5105</v>
      </c>
      <c r="C97">
        <v>465</v>
      </c>
      <c r="D97">
        <v>5</v>
      </c>
      <c r="E97" t="s">
        <v>10</v>
      </c>
      <c r="F97" t="s">
        <v>22</v>
      </c>
      <c r="G97" t="s">
        <v>12</v>
      </c>
      <c r="H97" s="1">
        <v>44512</v>
      </c>
      <c r="I97" t="s">
        <v>136</v>
      </c>
      <c r="J97" t="s">
        <v>14</v>
      </c>
      <c r="K97" t="s">
        <v>28</v>
      </c>
      <c r="L97" s="3">
        <f>IF(Sales_Table[[#This Row],[Revenue]]=0,0,Sales_Table[[#This Row],[Revenue]]/Sales_Table[[#This Row],[Profit]])</f>
        <v>10.978494623655914</v>
      </c>
    </row>
    <row r="98" spans="1:12" x14ac:dyDescent="0.5">
      <c r="A98" t="s">
        <v>137</v>
      </c>
      <c r="B98">
        <v>5578</v>
      </c>
      <c r="C98">
        <v>277</v>
      </c>
      <c r="D98">
        <v>16</v>
      </c>
      <c r="E98" t="s">
        <v>36</v>
      </c>
      <c r="F98" t="s">
        <v>37</v>
      </c>
      <c r="G98" t="s">
        <v>53</v>
      </c>
      <c r="H98" s="1">
        <v>44425</v>
      </c>
      <c r="I98" t="s">
        <v>138</v>
      </c>
      <c r="J98" t="s">
        <v>14</v>
      </c>
      <c r="K98" t="s">
        <v>15</v>
      </c>
      <c r="L98" s="3">
        <f>IF(Sales_Table[[#This Row],[Revenue]]=0,0,Sales_Table[[#This Row],[Revenue]]/Sales_Table[[#This Row],[Profit]])</f>
        <v>20.137184115523464</v>
      </c>
    </row>
    <row r="99" spans="1:12" x14ac:dyDescent="0.5">
      <c r="A99" t="s">
        <v>137</v>
      </c>
      <c r="B99">
        <v>5578</v>
      </c>
      <c r="C99">
        <v>277</v>
      </c>
      <c r="D99">
        <v>16</v>
      </c>
      <c r="E99" t="s">
        <v>36</v>
      </c>
      <c r="F99" t="s">
        <v>37</v>
      </c>
      <c r="G99" t="s">
        <v>53</v>
      </c>
      <c r="H99" s="1">
        <v>44697</v>
      </c>
      <c r="I99" t="s">
        <v>139</v>
      </c>
      <c r="J99" t="s">
        <v>79</v>
      </c>
      <c r="K99" t="s">
        <v>80</v>
      </c>
      <c r="L99" s="3">
        <f>IF(Sales_Table[[#This Row],[Revenue]]=0,0,Sales_Table[[#This Row],[Revenue]]/Sales_Table[[#This Row],[Profit]])</f>
        <v>20.137184115523464</v>
      </c>
    </row>
    <row r="100" spans="1:12" x14ac:dyDescent="0.5">
      <c r="A100" t="s">
        <v>140</v>
      </c>
      <c r="B100">
        <v>5224</v>
      </c>
      <c r="C100">
        <v>1958</v>
      </c>
      <c r="D100">
        <v>16</v>
      </c>
      <c r="E100" t="s">
        <v>36</v>
      </c>
      <c r="F100" t="s">
        <v>40</v>
      </c>
      <c r="G100" t="s">
        <v>38</v>
      </c>
      <c r="H100" s="1">
        <v>45123</v>
      </c>
      <c r="I100" t="s">
        <v>141</v>
      </c>
      <c r="J100" t="s">
        <v>59</v>
      </c>
      <c r="K100" t="s">
        <v>108</v>
      </c>
      <c r="L100" s="3">
        <f>IF(Sales_Table[[#This Row],[Revenue]]=0,0,Sales_Table[[#This Row],[Revenue]]/Sales_Table[[#This Row],[Profit]])</f>
        <v>2.6680286006128702</v>
      </c>
    </row>
    <row r="101" spans="1:12" x14ac:dyDescent="0.5">
      <c r="A101" t="s">
        <v>140</v>
      </c>
      <c r="B101">
        <v>5002</v>
      </c>
      <c r="C101">
        <v>1801</v>
      </c>
      <c r="D101">
        <v>11</v>
      </c>
      <c r="E101" t="s">
        <v>24</v>
      </c>
      <c r="F101" t="s">
        <v>46</v>
      </c>
      <c r="G101" t="s">
        <v>38</v>
      </c>
      <c r="H101" s="1">
        <v>45123</v>
      </c>
      <c r="I101" t="s">
        <v>141</v>
      </c>
      <c r="J101" t="s">
        <v>59</v>
      </c>
      <c r="K101" t="s">
        <v>108</v>
      </c>
      <c r="L101" s="3">
        <f>IF(Sales_Table[[#This Row],[Revenue]]=0,0,Sales_Table[[#This Row],[Revenue]]/Sales_Table[[#This Row],[Profit]])</f>
        <v>2.7773459189339258</v>
      </c>
    </row>
    <row r="102" spans="1:12" x14ac:dyDescent="0.5">
      <c r="A102" t="s">
        <v>140</v>
      </c>
      <c r="B102">
        <v>7380</v>
      </c>
      <c r="C102">
        <v>1673</v>
      </c>
      <c r="D102">
        <v>18</v>
      </c>
      <c r="E102" t="s">
        <v>24</v>
      </c>
      <c r="F102" t="s">
        <v>46</v>
      </c>
      <c r="G102" t="s">
        <v>53</v>
      </c>
      <c r="H102" s="1">
        <v>45123</v>
      </c>
      <c r="I102" t="s">
        <v>141</v>
      </c>
      <c r="J102" t="s">
        <v>59</v>
      </c>
      <c r="K102" t="s">
        <v>108</v>
      </c>
      <c r="L102" s="3">
        <f>IF(Sales_Table[[#This Row],[Revenue]]=0,0,Sales_Table[[#This Row],[Revenue]]/Sales_Table[[#This Row],[Profit]])</f>
        <v>4.4112372982665873</v>
      </c>
    </row>
    <row r="103" spans="1:12" x14ac:dyDescent="0.5">
      <c r="A103" t="s">
        <v>142</v>
      </c>
      <c r="B103">
        <v>7595</v>
      </c>
      <c r="C103">
        <v>2873</v>
      </c>
      <c r="D103">
        <v>4</v>
      </c>
      <c r="E103" t="s">
        <v>36</v>
      </c>
      <c r="F103" t="s">
        <v>40</v>
      </c>
      <c r="G103" t="s">
        <v>26</v>
      </c>
      <c r="H103" s="1">
        <v>44061</v>
      </c>
      <c r="I103" t="s">
        <v>143</v>
      </c>
      <c r="J103" t="s">
        <v>34</v>
      </c>
      <c r="K103" t="s">
        <v>35</v>
      </c>
      <c r="L103" s="3">
        <f>IF(Sales_Table[[#This Row],[Revenue]]=0,0,Sales_Table[[#This Row],[Revenue]]/Sales_Table[[#This Row],[Profit]])</f>
        <v>2.643578141315698</v>
      </c>
    </row>
    <row r="104" spans="1:12" x14ac:dyDescent="0.5">
      <c r="A104" t="s">
        <v>142</v>
      </c>
      <c r="B104">
        <v>7595</v>
      </c>
      <c r="C104">
        <v>2873</v>
      </c>
      <c r="D104">
        <v>4</v>
      </c>
      <c r="E104" t="s">
        <v>36</v>
      </c>
      <c r="F104" t="s">
        <v>40</v>
      </c>
      <c r="G104" t="s">
        <v>26</v>
      </c>
      <c r="H104" s="1">
        <v>44670</v>
      </c>
      <c r="I104" t="s">
        <v>144</v>
      </c>
      <c r="J104" t="s">
        <v>20</v>
      </c>
      <c r="K104" t="s">
        <v>56</v>
      </c>
      <c r="L104" s="3">
        <f>IF(Sales_Table[[#This Row],[Revenue]]=0,0,Sales_Table[[#This Row],[Revenue]]/Sales_Table[[#This Row],[Profit]])</f>
        <v>2.643578141315698</v>
      </c>
    </row>
    <row r="105" spans="1:12" x14ac:dyDescent="0.5">
      <c r="A105" t="s">
        <v>145</v>
      </c>
      <c r="B105">
        <v>1954</v>
      </c>
      <c r="C105">
        <v>294</v>
      </c>
      <c r="D105">
        <v>7</v>
      </c>
      <c r="E105" t="s">
        <v>36</v>
      </c>
      <c r="F105" t="s">
        <v>48</v>
      </c>
      <c r="G105" t="s">
        <v>26</v>
      </c>
      <c r="H105" s="1">
        <v>44918</v>
      </c>
      <c r="I105" t="s">
        <v>146</v>
      </c>
      <c r="J105" t="s">
        <v>59</v>
      </c>
      <c r="K105" t="s">
        <v>71</v>
      </c>
      <c r="L105" s="3">
        <f>IF(Sales_Table[[#This Row],[Revenue]]=0,0,Sales_Table[[#This Row],[Revenue]]/Sales_Table[[#This Row],[Profit]])</f>
        <v>6.6462585034013602</v>
      </c>
    </row>
    <row r="106" spans="1:12" x14ac:dyDescent="0.5">
      <c r="A106" t="s">
        <v>147</v>
      </c>
      <c r="B106">
        <v>523</v>
      </c>
      <c r="C106">
        <v>95</v>
      </c>
      <c r="D106">
        <v>20</v>
      </c>
      <c r="E106" t="s">
        <v>10</v>
      </c>
      <c r="F106" t="s">
        <v>22</v>
      </c>
      <c r="G106" t="s">
        <v>32</v>
      </c>
      <c r="H106" s="1">
        <v>45633</v>
      </c>
      <c r="I106" t="s">
        <v>148</v>
      </c>
      <c r="J106" t="s">
        <v>59</v>
      </c>
      <c r="K106" t="s">
        <v>60</v>
      </c>
      <c r="L106" s="3">
        <f>IF(Sales_Table[[#This Row],[Revenue]]=0,0,Sales_Table[[#This Row],[Revenue]]/Sales_Table[[#This Row],[Profit]])</f>
        <v>5.5052631578947366</v>
      </c>
    </row>
    <row r="107" spans="1:12" x14ac:dyDescent="0.5">
      <c r="A107" t="s">
        <v>149</v>
      </c>
      <c r="B107">
        <v>5704</v>
      </c>
      <c r="C107">
        <v>714</v>
      </c>
      <c r="D107">
        <v>13</v>
      </c>
      <c r="E107" t="s">
        <v>10</v>
      </c>
      <c r="F107" t="s">
        <v>31</v>
      </c>
      <c r="G107" t="s">
        <v>32</v>
      </c>
      <c r="H107" s="1">
        <v>44595</v>
      </c>
      <c r="I107" t="s">
        <v>150</v>
      </c>
      <c r="J107" t="s">
        <v>59</v>
      </c>
      <c r="K107" t="s">
        <v>71</v>
      </c>
      <c r="L107" s="3">
        <f>IF(Sales_Table[[#This Row],[Revenue]]=0,0,Sales_Table[[#This Row],[Revenue]]/Sales_Table[[#This Row],[Profit]])</f>
        <v>7.988795518207283</v>
      </c>
    </row>
    <row r="108" spans="1:12" x14ac:dyDescent="0.5">
      <c r="A108" t="s">
        <v>149</v>
      </c>
      <c r="B108">
        <v>5704</v>
      </c>
      <c r="C108">
        <v>714</v>
      </c>
      <c r="D108">
        <v>13</v>
      </c>
      <c r="E108" t="s">
        <v>10</v>
      </c>
      <c r="F108" t="s">
        <v>31</v>
      </c>
      <c r="G108" t="s">
        <v>32</v>
      </c>
      <c r="H108" s="1">
        <v>44542</v>
      </c>
      <c r="I108" t="s">
        <v>151</v>
      </c>
      <c r="J108" t="s">
        <v>34</v>
      </c>
      <c r="K108" t="s">
        <v>62</v>
      </c>
      <c r="L108" s="3">
        <f>IF(Sales_Table[[#This Row],[Revenue]]=0,0,Sales_Table[[#This Row],[Revenue]]/Sales_Table[[#This Row],[Profit]])</f>
        <v>7.988795518207283</v>
      </c>
    </row>
    <row r="109" spans="1:12" x14ac:dyDescent="0.5">
      <c r="A109" t="s">
        <v>149</v>
      </c>
      <c r="B109">
        <v>8797</v>
      </c>
      <c r="C109">
        <v>1010</v>
      </c>
      <c r="D109">
        <v>8</v>
      </c>
      <c r="E109" t="s">
        <v>36</v>
      </c>
      <c r="F109" t="s">
        <v>37</v>
      </c>
      <c r="G109" t="s">
        <v>12</v>
      </c>
      <c r="H109" s="1">
        <v>44595</v>
      </c>
      <c r="I109" t="s">
        <v>150</v>
      </c>
      <c r="J109" t="s">
        <v>59</v>
      </c>
      <c r="K109" t="s">
        <v>71</v>
      </c>
      <c r="L109" s="3">
        <f>IF(Sales_Table[[#This Row],[Revenue]]=0,0,Sales_Table[[#This Row],[Revenue]]/Sales_Table[[#This Row],[Profit]])</f>
        <v>8.7099009900990101</v>
      </c>
    </row>
    <row r="110" spans="1:12" x14ac:dyDescent="0.5">
      <c r="A110" t="s">
        <v>149</v>
      </c>
      <c r="B110">
        <v>8797</v>
      </c>
      <c r="C110">
        <v>1010</v>
      </c>
      <c r="D110">
        <v>8</v>
      </c>
      <c r="E110" t="s">
        <v>36</v>
      </c>
      <c r="F110" t="s">
        <v>37</v>
      </c>
      <c r="G110" t="s">
        <v>12</v>
      </c>
      <c r="H110" s="1">
        <v>44542</v>
      </c>
      <c r="I110" t="s">
        <v>151</v>
      </c>
      <c r="J110" t="s">
        <v>34</v>
      </c>
      <c r="K110" t="s">
        <v>62</v>
      </c>
      <c r="L110" s="3">
        <f>IF(Sales_Table[[#This Row],[Revenue]]=0,0,Sales_Table[[#This Row],[Revenue]]/Sales_Table[[#This Row],[Profit]])</f>
        <v>8.7099009900990101</v>
      </c>
    </row>
    <row r="111" spans="1:12" x14ac:dyDescent="0.5">
      <c r="A111" t="s">
        <v>149</v>
      </c>
      <c r="B111">
        <v>9236</v>
      </c>
      <c r="C111">
        <v>2899</v>
      </c>
      <c r="D111">
        <v>5</v>
      </c>
      <c r="E111" t="s">
        <v>10</v>
      </c>
      <c r="F111" t="s">
        <v>31</v>
      </c>
      <c r="G111" t="s">
        <v>26</v>
      </c>
      <c r="H111" s="1">
        <v>44595</v>
      </c>
      <c r="I111" t="s">
        <v>150</v>
      </c>
      <c r="J111" t="s">
        <v>59</v>
      </c>
      <c r="K111" t="s">
        <v>71</v>
      </c>
      <c r="L111" s="3">
        <f>IF(Sales_Table[[#This Row],[Revenue]]=0,0,Sales_Table[[#This Row],[Revenue]]/Sales_Table[[#This Row],[Profit]])</f>
        <v>3.1859261814418764</v>
      </c>
    </row>
    <row r="112" spans="1:12" x14ac:dyDescent="0.5">
      <c r="A112" t="s">
        <v>149</v>
      </c>
      <c r="B112">
        <v>9236</v>
      </c>
      <c r="C112">
        <v>2899</v>
      </c>
      <c r="D112">
        <v>5</v>
      </c>
      <c r="E112" t="s">
        <v>10</v>
      </c>
      <c r="F112" t="s">
        <v>31</v>
      </c>
      <c r="G112" t="s">
        <v>26</v>
      </c>
      <c r="H112" s="1">
        <v>44542</v>
      </c>
      <c r="I112" t="s">
        <v>151</v>
      </c>
      <c r="J112" t="s">
        <v>34</v>
      </c>
      <c r="K112" t="s">
        <v>62</v>
      </c>
      <c r="L112" s="3">
        <f>IF(Sales_Table[[#This Row],[Revenue]]=0,0,Sales_Table[[#This Row],[Revenue]]/Sales_Table[[#This Row],[Profit]])</f>
        <v>3.1859261814418764</v>
      </c>
    </row>
    <row r="113" spans="1:12" x14ac:dyDescent="0.5">
      <c r="A113" t="s">
        <v>152</v>
      </c>
      <c r="B113">
        <v>9109</v>
      </c>
      <c r="C113">
        <v>586</v>
      </c>
      <c r="D113">
        <v>17</v>
      </c>
      <c r="E113" t="s">
        <v>36</v>
      </c>
      <c r="F113" t="s">
        <v>48</v>
      </c>
      <c r="G113" t="s">
        <v>32</v>
      </c>
      <c r="H113" s="1">
        <v>43968</v>
      </c>
      <c r="I113" t="s">
        <v>153</v>
      </c>
      <c r="J113" t="s">
        <v>14</v>
      </c>
      <c r="K113" t="s">
        <v>15</v>
      </c>
      <c r="L113" s="3">
        <f>IF(Sales_Table[[#This Row],[Revenue]]=0,0,Sales_Table[[#This Row],[Revenue]]/Sales_Table[[#This Row],[Profit]])</f>
        <v>15.544368600682594</v>
      </c>
    </row>
    <row r="114" spans="1:12" x14ac:dyDescent="0.5">
      <c r="A114" t="s">
        <v>154</v>
      </c>
      <c r="B114">
        <v>4358</v>
      </c>
      <c r="C114">
        <v>526</v>
      </c>
      <c r="D114">
        <v>19</v>
      </c>
      <c r="E114" t="s">
        <v>10</v>
      </c>
      <c r="F114" t="s">
        <v>67</v>
      </c>
      <c r="G114" t="s">
        <v>38</v>
      </c>
      <c r="H114" s="1">
        <v>44900</v>
      </c>
      <c r="I114" t="s">
        <v>155</v>
      </c>
      <c r="J114" t="s">
        <v>59</v>
      </c>
      <c r="K114" t="s">
        <v>60</v>
      </c>
      <c r="L114" s="3">
        <f>IF(Sales_Table[[#This Row],[Revenue]]=0,0,Sales_Table[[#This Row],[Revenue]]/Sales_Table[[#This Row],[Profit]])</f>
        <v>8.2851711026615966</v>
      </c>
    </row>
    <row r="115" spans="1:12" x14ac:dyDescent="0.5">
      <c r="A115" t="s">
        <v>154</v>
      </c>
      <c r="B115">
        <v>4358</v>
      </c>
      <c r="C115">
        <v>526</v>
      </c>
      <c r="D115">
        <v>19</v>
      </c>
      <c r="E115" t="s">
        <v>10</v>
      </c>
      <c r="F115" t="s">
        <v>67</v>
      </c>
      <c r="G115" t="s">
        <v>38</v>
      </c>
      <c r="H115" s="1">
        <v>45552</v>
      </c>
      <c r="I115" t="s">
        <v>156</v>
      </c>
      <c r="J115" t="s">
        <v>34</v>
      </c>
      <c r="K115" t="s">
        <v>75</v>
      </c>
      <c r="L115" s="3">
        <f>IF(Sales_Table[[#This Row],[Revenue]]=0,0,Sales_Table[[#This Row],[Revenue]]/Sales_Table[[#This Row],[Profit]])</f>
        <v>8.2851711026615966</v>
      </c>
    </row>
    <row r="116" spans="1:12" x14ac:dyDescent="0.5">
      <c r="A116" t="s">
        <v>154</v>
      </c>
      <c r="B116">
        <v>6459</v>
      </c>
      <c r="C116">
        <v>825</v>
      </c>
      <c r="D116">
        <v>8</v>
      </c>
      <c r="E116" t="s">
        <v>10</v>
      </c>
      <c r="F116" t="s">
        <v>67</v>
      </c>
      <c r="G116" t="s">
        <v>38</v>
      </c>
      <c r="H116" s="1">
        <v>44900</v>
      </c>
      <c r="I116" t="s">
        <v>155</v>
      </c>
      <c r="J116" t="s">
        <v>59</v>
      </c>
      <c r="K116" t="s">
        <v>60</v>
      </c>
      <c r="L116" s="3">
        <f>IF(Sales_Table[[#This Row],[Revenue]]=0,0,Sales_Table[[#This Row],[Revenue]]/Sales_Table[[#This Row],[Profit]])</f>
        <v>7.8290909090909091</v>
      </c>
    </row>
    <row r="117" spans="1:12" x14ac:dyDescent="0.5">
      <c r="A117" t="s">
        <v>154</v>
      </c>
      <c r="B117">
        <v>6459</v>
      </c>
      <c r="C117">
        <v>825</v>
      </c>
      <c r="D117">
        <v>8</v>
      </c>
      <c r="E117" t="s">
        <v>10</v>
      </c>
      <c r="F117" t="s">
        <v>67</v>
      </c>
      <c r="G117" t="s">
        <v>38</v>
      </c>
      <c r="H117" s="1">
        <v>45552</v>
      </c>
      <c r="I117" t="s">
        <v>156</v>
      </c>
      <c r="J117" t="s">
        <v>34</v>
      </c>
      <c r="K117" t="s">
        <v>75</v>
      </c>
      <c r="L117" s="3">
        <f>IF(Sales_Table[[#This Row],[Revenue]]=0,0,Sales_Table[[#This Row],[Revenue]]/Sales_Table[[#This Row],[Profit]])</f>
        <v>7.8290909090909091</v>
      </c>
    </row>
    <row r="118" spans="1:12" x14ac:dyDescent="0.5">
      <c r="A118" t="s">
        <v>157</v>
      </c>
      <c r="B118">
        <v>2478</v>
      </c>
      <c r="C118">
        <v>92</v>
      </c>
      <c r="D118">
        <v>12</v>
      </c>
      <c r="E118" t="s">
        <v>36</v>
      </c>
      <c r="F118" t="s">
        <v>87</v>
      </c>
      <c r="G118" t="s">
        <v>53</v>
      </c>
      <c r="H118" s="1">
        <v>45054</v>
      </c>
      <c r="I118" t="s">
        <v>158</v>
      </c>
      <c r="J118" t="s">
        <v>34</v>
      </c>
      <c r="K118" t="s">
        <v>75</v>
      </c>
      <c r="L118" s="3">
        <f>IF(Sales_Table[[#This Row],[Revenue]]=0,0,Sales_Table[[#This Row],[Revenue]]/Sales_Table[[#This Row],[Profit]])</f>
        <v>26.934782608695652</v>
      </c>
    </row>
    <row r="119" spans="1:12" x14ac:dyDescent="0.5">
      <c r="A119" t="s">
        <v>157</v>
      </c>
      <c r="B119">
        <v>2478</v>
      </c>
      <c r="C119">
        <v>92</v>
      </c>
      <c r="D119">
        <v>12</v>
      </c>
      <c r="E119" t="s">
        <v>36</v>
      </c>
      <c r="F119" t="s">
        <v>87</v>
      </c>
      <c r="G119" t="s">
        <v>53</v>
      </c>
      <c r="H119" s="1">
        <v>44258</v>
      </c>
      <c r="I119" t="s">
        <v>159</v>
      </c>
      <c r="J119" t="s">
        <v>20</v>
      </c>
      <c r="K119" t="s">
        <v>42</v>
      </c>
      <c r="L119" s="3">
        <f>IF(Sales_Table[[#This Row],[Revenue]]=0,0,Sales_Table[[#This Row],[Revenue]]/Sales_Table[[#This Row],[Profit]])</f>
        <v>26.934782608695652</v>
      </c>
    </row>
    <row r="120" spans="1:12" x14ac:dyDescent="0.5">
      <c r="A120" t="s">
        <v>157</v>
      </c>
      <c r="B120">
        <v>2478</v>
      </c>
      <c r="C120">
        <v>92</v>
      </c>
      <c r="D120">
        <v>12</v>
      </c>
      <c r="E120" t="s">
        <v>36</v>
      </c>
      <c r="F120" t="s">
        <v>87</v>
      </c>
      <c r="G120" t="s">
        <v>53</v>
      </c>
      <c r="H120" s="1">
        <v>44273</v>
      </c>
      <c r="I120" t="s">
        <v>160</v>
      </c>
      <c r="J120" t="s">
        <v>34</v>
      </c>
      <c r="K120" t="s">
        <v>75</v>
      </c>
      <c r="L120" s="3">
        <f>IF(Sales_Table[[#This Row],[Revenue]]=0,0,Sales_Table[[#This Row],[Revenue]]/Sales_Table[[#This Row],[Profit]])</f>
        <v>26.934782608695652</v>
      </c>
    </row>
    <row r="121" spans="1:12" x14ac:dyDescent="0.5">
      <c r="A121" t="s">
        <v>157</v>
      </c>
      <c r="B121">
        <v>2478</v>
      </c>
      <c r="C121">
        <v>92</v>
      </c>
      <c r="D121">
        <v>12</v>
      </c>
      <c r="E121" t="s">
        <v>36</v>
      </c>
      <c r="F121" t="s">
        <v>87</v>
      </c>
      <c r="G121" t="s">
        <v>53</v>
      </c>
      <c r="H121" s="1">
        <v>45040</v>
      </c>
      <c r="I121" t="s">
        <v>161</v>
      </c>
      <c r="J121" t="s">
        <v>79</v>
      </c>
      <c r="K121" t="s">
        <v>94</v>
      </c>
      <c r="L121" s="3">
        <f>IF(Sales_Table[[#This Row],[Revenue]]=0,0,Sales_Table[[#This Row],[Revenue]]/Sales_Table[[#This Row],[Profit]])</f>
        <v>26.934782608695652</v>
      </c>
    </row>
    <row r="122" spans="1:12" x14ac:dyDescent="0.5">
      <c r="A122" t="s">
        <v>162</v>
      </c>
      <c r="B122">
        <v>9992</v>
      </c>
      <c r="C122">
        <v>3696</v>
      </c>
      <c r="D122">
        <v>20</v>
      </c>
      <c r="E122" t="s">
        <v>24</v>
      </c>
      <c r="F122" t="s">
        <v>25</v>
      </c>
      <c r="G122" t="s">
        <v>26</v>
      </c>
      <c r="H122" s="1">
        <v>44478</v>
      </c>
      <c r="I122" t="s">
        <v>163</v>
      </c>
      <c r="J122" t="s">
        <v>20</v>
      </c>
      <c r="K122" t="s">
        <v>56</v>
      </c>
      <c r="L122" s="3">
        <f>IF(Sales_Table[[#This Row],[Revenue]]=0,0,Sales_Table[[#This Row],[Revenue]]/Sales_Table[[#This Row],[Profit]])</f>
        <v>2.7034632034632033</v>
      </c>
    </row>
    <row r="123" spans="1:12" x14ac:dyDescent="0.5">
      <c r="A123" t="s">
        <v>162</v>
      </c>
      <c r="B123">
        <v>9992</v>
      </c>
      <c r="C123">
        <v>3696</v>
      </c>
      <c r="D123">
        <v>20</v>
      </c>
      <c r="E123" t="s">
        <v>24</v>
      </c>
      <c r="F123" t="s">
        <v>25</v>
      </c>
      <c r="G123" t="s">
        <v>26</v>
      </c>
      <c r="H123" s="1">
        <v>44666</v>
      </c>
      <c r="I123" t="s">
        <v>164</v>
      </c>
      <c r="J123" t="s">
        <v>59</v>
      </c>
      <c r="K123" t="s">
        <v>71</v>
      </c>
      <c r="L123" s="3">
        <f>IF(Sales_Table[[#This Row],[Revenue]]=0,0,Sales_Table[[#This Row],[Revenue]]/Sales_Table[[#This Row],[Profit]])</f>
        <v>2.7034632034632033</v>
      </c>
    </row>
    <row r="124" spans="1:12" x14ac:dyDescent="0.5">
      <c r="A124" t="s">
        <v>162</v>
      </c>
      <c r="B124">
        <v>9992</v>
      </c>
      <c r="C124">
        <v>3696</v>
      </c>
      <c r="D124">
        <v>20</v>
      </c>
      <c r="E124" t="s">
        <v>24</v>
      </c>
      <c r="F124" t="s">
        <v>25</v>
      </c>
      <c r="G124" t="s">
        <v>26</v>
      </c>
      <c r="H124" s="1">
        <v>44802</v>
      </c>
      <c r="I124" t="s">
        <v>165</v>
      </c>
      <c r="J124" t="s">
        <v>20</v>
      </c>
      <c r="K124" t="s">
        <v>56</v>
      </c>
      <c r="L124" s="3">
        <f>IF(Sales_Table[[#This Row],[Revenue]]=0,0,Sales_Table[[#This Row],[Revenue]]/Sales_Table[[#This Row],[Profit]])</f>
        <v>2.7034632034632033</v>
      </c>
    </row>
    <row r="125" spans="1:12" x14ac:dyDescent="0.5">
      <c r="A125" t="s">
        <v>162</v>
      </c>
      <c r="B125">
        <v>9619</v>
      </c>
      <c r="C125">
        <v>3420</v>
      </c>
      <c r="D125">
        <v>7</v>
      </c>
      <c r="E125" t="s">
        <v>24</v>
      </c>
      <c r="F125" t="s">
        <v>64</v>
      </c>
      <c r="G125" t="s">
        <v>12</v>
      </c>
      <c r="H125" s="1">
        <v>44478</v>
      </c>
      <c r="I125" t="s">
        <v>163</v>
      </c>
      <c r="J125" t="s">
        <v>20</v>
      </c>
      <c r="K125" t="s">
        <v>56</v>
      </c>
      <c r="L125" s="3">
        <f>IF(Sales_Table[[#This Row],[Revenue]]=0,0,Sales_Table[[#This Row],[Revenue]]/Sales_Table[[#This Row],[Profit]])</f>
        <v>2.8125730994152045</v>
      </c>
    </row>
    <row r="126" spans="1:12" x14ac:dyDescent="0.5">
      <c r="A126" t="s">
        <v>162</v>
      </c>
      <c r="B126">
        <v>9619</v>
      </c>
      <c r="C126">
        <v>3420</v>
      </c>
      <c r="D126">
        <v>7</v>
      </c>
      <c r="E126" t="s">
        <v>24</v>
      </c>
      <c r="F126" t="s">
        <v>64</v>
      </c>
      <c r="G126" t="s">
        <v>12</v>
      </c>
      <c r="H126" s="1">
        <v>44666</v>
      </c>
      <c r="I126" t="s">
        <v>164</v>
      </c>
      <c r="J126" t="s">
        <v>59</v>
      </c>
      <c r="K126" t="s">
        <v>71</v>
      </c>
      <c r="L126" s="3">
        <f>IF(Sales_Table[[#This Row],[Revenue]]=0,0,Sales_Table[[#This Row],[Revenue]]/Sales_Table[[#This Row],[Profit]])</f>
        <v>2.8125730994152045</v>
      </c>
    </row>
    <row r="127" spans="1:12" x14ac:dyDescent="0.5">
      <c r="A127" t="s">
        <v>162</v>
      </c>
      <c r="B127">
        <v>9619</v>
      </c>
      <c r="C127">
        <v>3420</v>
      </c>
      <c r="D127">
        <v>7</v>
      </c>
      <c r="E127" t="s">
        <v>24</v>
      </c>
      <c r="F127" t="s">
        <v>64</v>
      </c>
      <c r="G127" t="s">
        <v>12</v>
      </c>
      <c r="H127" s="1">
        <v>44802</v>
      </c>
      <c r="I127" t="s">
        <v>165</v>
      </c>
      <c r="J127" t="s">
        <v>20</v>
      </c>
      <c r="K127" t="s">
        <v>56</v>
      </c>
      <c r="L127" s="3">
        <f>IF(Sales_Table[[#This Row],[Revenue]]=0,0,Sales_Table[[#This Row],[Revenue]]/Sales_Table[[#This Row],[Profit]])</f>
        <v>2.8125730994152045</v>
      </c>
    </row>
    <row r="128" spans="1:12" x14ac:dyDescent="0.5">
      <c r="A128" t="s">
        <v>166</v>
      </c>
      <c r="B128">
        <v>9538</v>
      </c>
      <c r="C128">
        <v>3158</v>
      </c>
      <c r="D128">
        <v>20</v>
      </c>
      <c r="E128" t="s">
        <v>10</v>
      </c>
      <c r="F128" t="s">
        <v>22</v>
      </c>
      <c r="G128" t="s">
        <v>38</v>
      </c>
      <c r="H128" s="1">
        <v>45539</v>
      </c>
      <c r="I128" t="s">
        <v>167</v>
      </c>
      <c r="J128" t="s">
        <v>34</v>
      </c>
      <c r="K128" t="s">
        <v>75</v>
      </c>
      <c r="L128" s="3">
        <f>IF(Sales_Table[[#This Row],[Revenue]]=0,0,Sales_Table[[#This Row],[Revenue]]/Sales_Table[[#This Row],[Profit]])</f>
        <v>3.0202659911336287</v>
      </c>
    </row>
    <row r="129" spans="1:12" x14ac:dyDescent="0.5">
      <c r="A129" t="s">
        <v>166</v>
      </c>
      <c r="B129">
        <v>9538</v>
      </c>
      <c r="C129">
        <v>3158</v>
      </c>
      <c r="D129">
        <v>20</v>
      </c>
      <c r="E129" t="s">
        <v>10</v>
      </c>
      <c r="F129" t="s">
        <v>22</v>
      </c>
      <c r="G129" t="s">
        <v>38</v>
      </c>
      <c r="H129" s="1">
        <v>44334</v>
      </c>
      <c r="I129" t="s">
        <v>168</v>
      </c>
      <c r="J129" t="s">
        <v>79</v>
      </c>
      <c r="K129" t="s">
        <v>94</v>
      </c>
      <c r="L129" s="3">
        <f>IF(Sales_Table[[#This Row],[Revenue]]=0,0,Sales_Table[[#This Row],[Revenue]]/Sales_Table[[#This Row],[Profit]])</f>
        <v>3.0202659911336287</v>
      </c>
    </row>
    <row r="130" spans="1:12" x14ac:dyDescent="0.5">
      <c r="A130" t="s">
        <v>166</v>
      </c>
      <c r="B130">
        <v>9035</v>
      </c>
      <c r="C130">
        <v>1227</v>
      </c>
      <c r="D130">
        <v>14</v>
      </c>
      <c r="E130" t="s">
        <v>36</v>
      </c>
      <c r="F130" t="s">
        <v>40</v>
      </c>
      <c r="G130" t="s">
        <v>32</v>
      </c>
      <c r="H130" s="1">
        <v>45539</v>
      </c>
      <c r="I130" t="s">
        <v>167</v>
      </c>
      <c r="J130" t="s">
        <v>34</v>
      </c>
      <c r="K130" t="s">
        <v>75</v>
      </c>
      <c r="L130" s="3">
        <f>IF(Sales_Table[[#This Row],[Revenue]]=0,0,Sales_Table[[#This Row],[Revenue]]/Sales_Table[[#This Row],[Profit]])</f>
        <v>7.3634881825590872</v>
      </c>
    </row>
    <row r="131" spans="1:12" x14ac:dyDescent="0.5">
      <c r="A131" t="s">
        <v>166</v>
      </c>
      <c r="B131">
        <v>9035</v>
      </c>
      <c r="C131">
        <v>1227</v>
      </c>
      <c r="D131">
        <v>14</v>
      </c>
      <c r="E131" t="s">
        <v>36</v>
      </c>
      <c r="F131" t="s">
        <v>40</v>
      </c>
      <c r="G131" t="s">
        <v>32</v>
      </c>
      <c r="H131" s="1">
        <v>44334</v>
      </c>
      <c r="I131" t="s">
        <v>168</v>
      </c>
      <c r="J131" t="s">
        <v>79</v>
      </c>
      <c r="K131" t="s">
        <v>94</v>
      </c>
      <c r="L131" s="3">
        <f>IF(Sales_Table[[#This Row],[Revenue]]=0,0,Sales_Table[[#This Row],[Revenue]]/Sales_Table[[#This Row],[Profit]])</f>
        <v>7.3634881825590872</v>
      </c>
    </row>
    <row r="132" spans="1:12" x14ac:dyDescent="0.5">
      <c r="A132" t="s">
        <v>169</v>
      </c>
      <c r="B132">
        <v>2684</v>
      </c>
      <c r="C132">
        <v>670</v>
      </c>
      <c r="D132">
        <v>2</v>
      </c>
      <c r="E132" t="s">
        <v>24</v>
      </c>
      <c r="F132" t="s">
        <v>52</v>
      </c>
      <c r="G132" t="s">
        <v>53</v>
      </c>
      <c r="H132" s="1">
        <v>45475</v>
      </c>
      <c r="I132" t="s">
        <v>170</v>
      </c>
      <c r="J132" t="s">
        <v>14</v>
      </c>
      <c r="K132" t="s">
        <v>118</v>
      </c>
      <c r="L132" s="3">
        <f>IF(Sales_Table[[#This Row],[Revenue]]=0,0,Sales_Table[[#This Row],[Revenue]]/Sales_Table[[#This Row],[Profit]])</f>
        <v>4.0059701492537316</v>
      </c>
    </row>
    <row r="133" spans="1:12" x14ac:dyDescent="0.5">
      <c r="A133" t="s">
        <v>169</v>
      </c>
      <c r="B133">
        <v>822</v>
      </c>
      <c r="C133">
        <v>147</v>
      </c>
      <c r="D133">
        <v>5</v>
      </c>
      <c r="E133" t="s">
        <v>36</v>
      </c>
      <c r="F133" t="s">
        <v>48</v>
      </c>
      <c r="G133" t="s">
        <v>38</v>
      </c>
      <c r="H133" s="1">
        <v>45475</v>
      </c>
      <c r="I133" t="s">
        <v>170</v>
      </c>
      <c r="J133" t="s">
        <v>14</v>
      </c>
      <c r="K133" t="s">
        <v>118</v>
      </c>
      <c r="L133" s="3">
        <f>IF(Sales_Table[[#This Row],[Revenue]]=0,0,Sales_Table[[#This Row],[Revenue]]/Sales_Table[[#This Row],[Profit]])</f>
        <v>5.591836734693878</v>
      </c>
    </row>
    <row r="134" spans="1:12" x14ac:dyDescent="0.5">
      <c r="A134" t="s">
        <v>169</v>
      </c>
      <c r="B134">
        <v>9730</v>
      </c>
      <c r="C134">
        <v>2341</v>
      </c>
      <c r="D134">
        <v>2</v>
      </c>
      <c r="E134" t="s">
        <v>36</v>
      </c>
      <c r="F134" t="s">
        <v>40</v>
      </c>
      <c r="G134" t="s">
        <v>32</v>
      </c>
      <c r="H134" s="1">
        <v>45475</v>
      </c>
      <c r="I134" t="s">
        <v>170</v>
      </c>
      <c r="J134" t="s">
        <v>14</v>
      </c>
      <c r="K134" t="s">
        <v>118</v>
      </c>
      <c r="L134" s="3">
        <f>IF(Sales_Table[[#This Row],[Revenue]]=0,0,Sales_Table[[#This Row],[Revenue]]/Sales_Table[[#This Row],[Profit]])</f>
        <v>4.1563434429730881</v>
      </c>
    </row>
    <row r="135" spans="1:12" x14ac:dyDescent="0.5">
      <c r="A135" t="s">
        <v>169</v>
      </c>
      <c r="B135">
        <v>2483</v>
      </c>
      <c r="C135">
        <v>236</v>
      </c>
      <c r="D135">
        <v>2</v>
      </c>
      <c r="E135" t="s">
        <v>10</v>
      </c>
      <c r="F135" t="s">
        <v>11</v>
      </c>
      <c r="G135" t="s">
        <v>53</v>
      </c>
      <c r="H135" s="1">
        <v>45475</v>
      </c>
      <c r="I135" t="s">
        <v>170</v>
      </c>
      <c r="J135" t="s">
        <v>14</v>
      </c>
      <c r="K135" t="s">
        <v>118</v>
      </c>
      <c r="L135" s="3">
        <f>IF(Sales_Table[[#This Row],[Revenue]]=0,0,Sales_Table[[#This Row],[Revenue]]/Sales_Table[[#This Row],[Profit]])</f>
        <v>10.521186440677965</v>
      </c>
    </row>
    <row r="136" spans="1:12" x14ac:dyDescent="0.5">
      <c r="A136" t="s">
        <v>171</v>
      </c>
      <c r="B136">
        <v>1297</v>
      </c>
      <c r="C136">
        <v>600</v>
      </c>
      <c r="D136">
        <v>7</v>
      </c>
      <c r="E136" t="s">
        <v>24</v>
      </c>
      <c r="F136" t="s">
        <v>64</v>
      </c>
      <c r="G136" t="s">
        <v>38</v>
      </c>
      <c r="H136" s="1">
        <v>45338</v>
      </c>
      <c r="I136" t="s">
        <v>172</v>
      </c>
      <c r="J136" t="s">
        <v>14</v>
      </c>
      <c r="K136" t="s">
        <v>28</v>
      </c>
      <c r="L136" s="3">
        <f>IF(Sales_Table[[#This Row],[Revenue]]=0,0,Sales_Table[[#This Row],[Revenue]]/Sales_Table[[#This Row],[Profit]])</f>
        <v>2.1616666666666666</v>
      </c>
    </row>
    <row r="137" spans="1:12" x14ac:dyDescent="0.5">
      <c r="A137" t="s">
        <v>171</v>
      </c>
      <c r="B137">
        <v>7909</v>
      </c>
      <c r="C137">
        <v>1942</v>
      </c>
      <c r="D137">
        <v>19</v>
      </c>
      <c r="E137" t="s">
        <v>10</v>
      </c>
      <c r="F137" t="s">
        <v>67</v>
      </c>
      <c r="G137" t="s">
        <v>53</v>
      </c>
      <c r="H137" s="1">
        <v>45338</v>
      </c>
      <c r="I137" t="s">
        <v>172</v>
      </c>
      <c r="J137" t="s">
        <v>14</v>
      </c>
      <c r="K137" t="s">
        <v>28</v>
      </c>
      <c r="L137" s="3">
        <f>IF(Sales_Table[[#This Row],[Revenue]]=0,0,Sales_Table[[#This Row],[Revenue]]/Sales_Table[[#This Row],[Profit]])</f>
        <v>4.072605561277034</v>
      </c>
    </row>
    <row r="138" spans="1:12" x14ac:dyDescent="0.5">
      <c r="A138" t="s">
        <v>173</v>
      </c>
      <c r="B138">
        <v>9768</v>
      </c>
      <c r="C138">
        <v>4518</v>
      </c>
      <c r="D138">
        <v>8</v>
      </c>
      <c r="E138" t="s">
        <v>36</v>
      </c>
      <c r="F138" t="s">
        <v>37</v>
      </c>
      <c r="G138" t="s">
        <v>38</v>
      </c>
      <c r="H138" s="1">
        <v>44526</v>
      </c>
      <c r="I138" t="s">
        <v>174</v>
      </c>
      <c r="J138" t="s">
        <v>59</v>
      </c>
      <c r="K138" t="s">
        <v>60</v>
      </c>
      <c r="L138" s="3">
        <f>IF(Sales_Table[[#This Row],[Revenue]]=0,0,Sales_Table[[#This Row],[Revenue]]/Sales_Table[[#This Row],[Profit]])</f>
        <v>2.1620185922974766</v>
      </c>
    </row>
    <row r="139" spans="1:12" x14ac:dyDescent="0.5">
      <c r="A139" t="s">
        <v>173</v>
      </c>
      <c r="B139">
        <v>4968</v>
      </c>
      <c r="C139">
        <v>934</v>
      </c>
      <c r="D139">
        <v>5</v>
      </c>
      <c r="E139" t="s">
        <v>36</v>
      </c>
      <c r="F139" t="s">
        <v>48</v>
      </c>
      <c r="G139" t="s">
        <v>26</v>
      </c>
      <c r="H139" s="1">
        <v>44526</v>
      </c>
      <c r="I139" t="s">
        <v>174</v>
      </c>
      <c r="J139" t="s">
        <v>59</v>
      </c>
      <c r="K139" t="s">
        <v>60</v>
      </c>
      <c r="L139" s="3">
        <f>IF(Sales_Table[[#This Row],[Revenue]]=0,0,Sales_Table[[#This Row],[Revenue]]/Sales_Table[[#This Row],[Profit]])</f>
        <v>5.3190578158458246</v>
      </c>
    </row>
    <row r="140" spans="1:12" x14ac:dyDescent="0.5">
      <c r="A140" t="s">
        <v>173</v>
      </c>
      <c r="B140">
        <v>1731</v>
      </c>
      <c r="C140">
        <v>149</v>
      </c>
      <c r="D140">
        <v>4</v>
      </c>
      <c r="E140" t="s">
        <v>10</v>
      </c>
      <c r="F140" t="s">
        <v>31</v>
      </c>
      <c r="G140" t="s">
        <v>32</v>
      </c>
      <c r="H140" s="1">
        <v>44526</v>
      </c>
      <c r="I140" t="s">
        <v>174</v>
      </c>
      <c r="J140" t="s">
        <v>59</v>
      </c>
      <c r="K140" t="s">
        <v>60</v>
      </c>
      <c r="L140" s="3">
        <f>IF(Sales_Table[[#This Row],[Revenue]]=0,0,Sales_Table[[#This Row],[Revenue]]/Sales_Table[[#This Row],[Profit]])</f>
        <v>11.617449664429531</v>
      </c>
    </row>
    <row r="141" spans="1:12" x14ac:dyDescent="0.5">
      <c r="A141" t="s">
        <v>175</v>
      </c>
      <c r="B141">
        <v>3433</v>
      </c>
      <c r="C141">
        <v>1169</v>
      </c>
      <c r="D141">
        <v>10</v>
      </c>
      <c r="E141" t="s">
        <v>24</v>
      </c>
      <c r="F141" t="s">
        <v>64</v>
      </c>
      <c r="G141" t="s">
        <v>53</v>
      </c>
      <c r="H141" s="1">
        <v>45323</v>
      </c>
      <c r="I141" t="s">
        <v>176</v>
      </c>
      <c r="J141" t="s">
        <v>34</v>
      </c>
      <c r="K141" t="s">
        <v>75</v>
      </c>
      <c r="L141" s="3">
        <f>IF(Sales_Table[[#This Row],[Revenue]]=0,0,Sales_Table[[#This Row],[Revenue]]/Sales_Table[[#This Row],[Profit]])</f>
        <v>2.9366980325064156</v>
      </c>
    </row>
    <row r="142" spans="1:12" x14ac:dyDescent="0.5">
      <c r="A142" t="s">
        <v>175</v>
      </c>
      <c r="B142">
        <v>3433</v>
      </c>
      <c r="C142">
        <v>1169</v>
      </c>
      <c r="D142">
        <v>10</v>
      </c>
      <c r="E142" t="s">
        <v>24</v>
      </c>
      <c r="F142" t="s">
        <v>64</v>
      </c>
      <c r="G142" t="s">
        <v>53</v>
      </c>
      <c r="H142" s="1">
        <v>44448</v>
      </c>
      <c r="I142" t="s">
        <v>177</v>
      </c>
      <c r="J142" t="s">
        <v>17</v>
      </c>
      <c r="K142" t="s">
        <v>51</v>
      </c>
      <c r="L142" s="3">
        <f>IF(Sales_Table[[#This Row],[Revenue]]=0,0,Sales_Table[[#This Row],[Revenue]]/Sales_Table[[#This Row],[Profit]])</f>
        <v>2.9366980325064156</v>
      </c>
    </row>
    <row r="143" spans="1:12" x14ac:dyDescent="0.5">
      <c r="A143" t="s">
        <v>175</v>
      </c>
      <c r="B143">
        <v>3433</v>
      </c>
      <c r="C143">
        <v>1169</v>
      </c>
      <c r="D143">
        <v>10</v>
      </c>
      <c r="E143" t="s">
        <v>24</v>
      </c>
      <c r="F143" t="s">
        <v>64</v>
      </c>
      <c r="G143" t="s">
        <v>53</v>
      </c>
      <c r="H143" s="1">
        <v>44447</v>
      </c>
      <c r="I143" t="s">
        <v>178</v>
      </c>
      <c r="J143" t="s">
        <v>34</v>
      </c>
      <c r="K143" t="s">
        <v>62</v>
      </c>
      <c r="L143" s="3">
        <f>IF(Sales_Table[[#This Row],[Revenue]]=0,0,Sales_Table[[#This Row],[Revenue]]/Sales_Table[[#This Row],[Profit]])</f>
        <v>2.9366980325064156</v>
      </c>
    </row>
    <row r="144" spans="1:12" x14ac:dyDescent="0.5">
      <c r="A144" t="s">
        <v>175</v>
      </c>
      <c r="B144">
        <v>3887</v>
      </c>
      <c r="C144">
        <v>1490</v>
      </c>
      <c r="D144">
        <v>1</v>
      </c>
      <c r="E144" t="s">
        <v>24</v>
      </c>
      <c r="F144" t="s">
        <v>64</v>
      </c>
      <c r="G144" t="s">
        <v>26</v>
      </c>
      <c r="H144" s="1">
        <v>45323</v>
      </c>
      <c r="I144" t="s">
        <v>176</v>
      </c>
      <c r="J144" t="s">
        <v>34</v>
      </c>
      <c r="K144" t="s">
        <v>75</v>
      </c>
      <c r="L144" s="3">
        <f>IF(Sales_Table[[#This Row],[Revenue]]=0,0,Sales_Table[[#This Row],[Revenue]]/Sales_Table[[#This Row],[Profit]])</f>
        <v>2.6087248322147651</v>
      </c>
    </row>
    <row r="145" spans="1:12" x14ac:dyDescent="0.5">
      <c r="A145" t="s">
        <v>175</v>
      </c>
      <c r="B145">
        <v>3887</v>
      </c>
      <c r="C145">
        <v>1490</v>
      </c>
      <c r="D145">
        <v>1</v>
      </c>
      <c r="E145" t="s">
        <v>24</v>
      </c>
      <c r="F145" t="s">
        <v>64</v>
      </c>
      <c r="G145" t="s">
        <v>26</v>
      </c>
      <c r="H145" s="1">
        <v>44448</v>
      </c>
      <c r="I145" t="s">
        <v>177</v>
      </c>
      <c r="J145" t="s">
        <v>17</v>
      </c>
      <c r="K145" t="s">
        <v>51</v>
      </c>
      <c r="L145" s="3">
        <f>IF(Sales_Table[[#This Row],[Revenue]]=0,0,Sales_Table[[#This Row],[Revenue]]/Sales_Table[[#This Row],[Profit]])</f>
        <v>2.6087248322147651</v>
      </c>
    </row>
    <row r="146" spans="1:12" x14ac:dyDescent="0.5">
      <c r="A146" t="s">
        <v>175</v>
      </c>
      <c r="B146">
        <v>3887</v>
      </c>
      <c r="C146">
        <v>1490</v>
      </c>
      <c r="D146">
        <v>1</v>
      </c>
      <c r="E146" t="s">
        <v>24</v>
      </c>
      <c r="F146" t="s">
        <v>64</v>
      </c>
      <c r="G146" t="s">
        <v>26</v>
      </c>
      <c r="H146" s="1">
        <v>44447</v>
      </c>
      <c r="I146" t="s">
        <v>178</v>
      </c>
      <c r="J146" t="s">
        <v>34</v>
      </c>
      <c r="K146" t="s">
        <v>62</v>
      </c>
      <c r="L146" s="3">
        <f>IF(Sales_Table[[#This Row],[Revenue]]=0,0,Sales_Table[[#This Row],[Revenue]]/Sales_Table[[#This Row],[Profit]])</f>
        <v>2.6087248322147651</v>
      </c>
    </row>
    <row r="147" spans="1:12" x14ac:dyDescent="0.5">
      <c r="A147" t="s">
        <v>179</v>
      </c>
      <c r="B147">
        <v>1801</v>
      </c>
      <c r="C147">
        <v>641</v>
      </c>
      <c r="D147">
        <v>20</v>
      </c>
      <c r="E147" t="s">
        <v>24</v>
      </c>
      <c r="F147" t="s">
        <v>46</v>
      </c>
      <c r="G147" t="s">
        <v>38</v>
      </c>
      <c r="H147" s="1">
        <v>45482</v>
      </c>
      <c r="I147" t="s">
        <v>180</v>
      </c>
      <c r="J147" t="s">
        <v>34</v>
      </c>
      <c r="K147" t="s">
        <v>35</v>
      </c>
      <c r="L147" s="3">
        <f>IF(Sales_Table[[#This Row],[Revenue]]=0,0,Sales_Table[[#This Row],[Revenue]]/Sales_Table[[#This Row],[Profit]])</f>
        <v>2.8096723868954756</v>
      </c>
    </row>
    <row r="148" spans="1:12" x14ac:dyDescent="0.5">
      <c r="A148" t="s">
        <v>179</v>
      </c>
      <c r="B148">
        <v>5301</v>
      </c>
      <c r="C148">
        <v>817</v>
      </c>
      <c r="D148">
        <v>10</v>
      </c>
      <c r="E148" t="s">
        <v>36</v>
      </c>
      <c r="F148" t="s">
        <v>37</v>
      </c>
      <c r="G148" t="s">
        <v>26</v>
      </c>
      <c r="H148" s="1">
        <v>45482</v>
      </c>
      <c r="I148" t="s">
        <v>180</v>
      </c>
      <c r="J148" t="s">
        <v>34</v>
      </c>
      <c r="K148" t="s">
        <v>35</v>
      </c>
      <c r="L148" s="3">
        <f>IF(Sales_Table[[#This Row],[Revenue]]=0,0,Sales_Table[[#This Row],[Revenue]]/Sales_Table[[#This Row],[Profit]])</f>
        <v>6.4883720930232558</v>
      </c>
    </row>
    <row r="149" spans="1:12" x14ac:dyDescent="0.5">
      <c r="A149" t="s">
        <v>179</v>
      </c>
      <c r="B149">
        <v>1166</v>
      </c>
      <c r="C149">
        <v>520</v>
      </c>
      <c r="D149">
        <v>12</v>
      </c>
      <c r="E149" t="s">
        <v>24</v>
      </c>
      <c r="F149" t="s">
        <v>52</v>
      </c>
      <c r="G149" t="s">
        <v>26</v>
      </c>
      <c r="H149" s="1">
        <v>45482</v>
      </c>
      <c r="I149" t="s">
        <v>180</v>
      </c>
      <c r="J149" t="s">
        <v>34</v>
      </c>
      <c r="K149" t="s">
        <v>35</v>
      </c>
      <c r="L149" s="3">
        <f>IF(Sales_Table[[#This Row],[Revenue]]=0,0,Sales_Table[[#This Row],[Revenue]]/Sales_Table[[#This Row],[Profit]])</f>
        <v>2.2423076923076923</v>
      </c>
    </row>
    <row r="150" spans="1:12" x14ac:dyDescent="0.5">
      <c r="A150" t="s">
        <v>179</v>
      </c>
      <c r="B150">
        <v>3196</v>
      </c>
      <c r="C150">
        <v>1411</v>
      </c>
      <c r="D150">
        <v>15</v>
      </c>
      <c r="E150" t="s">
        <v>24</v>
      </c>
      <c r="F150" t="s">
        <v>52</v>
      </c>
      <c r="G150" t="s">
        <v>26</v>
      </c>
      <c r="H150" s="1">
        <v>45482</v>
      </c>
      <c r="I150" t="s">
        <v>180</v>
      </c>
      <c r="J150" t="s">
        <v>34</v>
      </c>
      <c r="K150" t="s">
        <v>35</v>
      </c>
      <c r="L150" s="3">
        <f>IF(Sales_Table[[#This Row],[Revenue]]=0,0,Sales_Table[[#This Row],[Revenue]]/Sales_Table[[#This Row],[Profit]])</f>
        <v>2.2650602409638556</v>
      </c>
    </row>
    <row r="151" spans="1:12" x14ac:dyDescent="0.5">
      <c r="A151" t="s">
        <v>181</v>
      </c>
      <c r="B151">
        <v>3428</v>
      </c>
      <c r="C151">
        <v>350</v>
      </c>
      <c r="D151">
        <v>1</v>
      </c>
      <c r="E151" t="s">
        <v>36</v>
      </c>
      <c r="F151" t="s">
        <v>40</v>
      </c>
      <c r="G151" t="s">
        <v>38</v>
      </c>
      <c r="H151" s="1">
        <v>44985</v>
      </c>
      <c r="I151" t="s">
        <v>182</v>
      </c>
      <c r="J151" t="s">
        <v>17</v>
      </c>
      <c r="K151" t="s">
        <v>51</v>
      </c>
      <c r="L151" s="3">
        <f>IF(Sales_Table[[#This Row],[Revenue]]=0,0,Sales_Table[[#This Row],[Revenue]]/Sales_Table[[#This Row],[Profit]])</f>
        <v>9.7942857142857136</v>
      </c>
    </row>
    <row r="152" spans="1:12" x14ac:dyDescent="0.5">
      <c r="A152" t="s">
        <v>181</v>
      </c>
      <c r="B152">
        <v>7223</v>
      </c>
      <c r="C152">
        <v>2433</v>
      </c>
      <c r="D152">
        <v>12</v>
      </c>
      <c r="E152" t="s">
        <v>24</v>
      </c>
      <c r="F152" t="s">
        <v>64</v>
      </c>
      <c r="G152" t="s">
        <v>38</v>
      </c>
      <c r="H152" s="1">
        <v>44985</v>
      </c>
      <c r="I152" t="s">
        <v>182</v>
      </c>
      <c r="J152" t="s">
        <v>17</v>
      </c>
      <c r="K152" t="s">
        <v>51</v>
      </c>
      <c r="L152" s="3">
        <f>IF(Sales_Table[[#This Row],[Revenue]]=0,0,Sales_Table[[#This Row],[Revenue]]/Sales_Table[[#This Row],[Profit]])</f>
        <v>2.9687628442252363</v>
      </c>
    </row>
    <row r="153" spans="1:12" x14ac:dyDescent="0.5">
      <c r="A153" t="s">
        <v>181</v>
      </c>
      <c r="B153">
        <v>3731</v>
      </c>
      <c r="C153">
        <v>647</v>
      </c>
      <c r="D153">
        <v>1</v>
      </c>
      <c r="E153" t="s">
        <v>24</v>
      </c>
      <c r="F153" t="s">
        <v>25</v>
      </c>
      <c r="G153" t="s">
        <v>38</v>
      </c>
      <c r="H153" s="1">
        <v>44985</v>
      </c>
      <c r="I153" t="s">
        <v>182</v>
      </c>
      <c r="J153" t="s">
        <v>17</v>
      </c>
      <c r="K153" t="s">
        <v>51</v>
      </c>
      <c r="L153" s="3">
        <f>IF(Sales_Table[[#This Row],[Revenue]]=0,0,Sales_Table[[#This Row],[Revenue]]/Sales_Table[[#This Row],[Profit]])</f>
        <v>5.7666151468315299</v>
      </c>
    </row>
    <row r="154" spans="1:12" x14ac:dyDescent="0.5">
      <c r="A154" t="s">
        <v>183</v>
      </c>
      <c r="B154">
        <v>8903</v>
      </c>
      <c r="C154">
        <v>4401</v>
      </c>
      <c r="D154">
        <v>18</v>
      </c>
      <c r="E154" t="s">
        <v>24</v>
      </c>
      <c r="F154" t="s">
        <v>25</v>
      </c>
      <c r="G154" t="s">
        <v>38</v>
      </c>
      <c r="H154" s="1">
        <v>44781</v>
      </c>
      <c r="I154" t="s">
        <v>184</v>
      </c>
      <c r="J154" t="s">
        <v>79</v>
      </c>
      <c r="K154" t="s">
        <v>80</v>
      </c>
      <c r="L154" s="3">
        <f>IF(Sales_Table[[#This Row],[Revenue]]=0,0,Sales_Table[[#This Row],[Revenue]]/Sales_Table[[#This Row],[Profit]])</f>
        <v>2.0229493296977958</v>
      </c>
    </row>
    <row r="155" spans="1:12" x14ac:dyDescent="0.5">
      <c r="A155" t="s">
        <v>185</v>
      </c>
      <c r="B155">
        <v>6009</v>
      </c>
      <c r="C155">
        <v>2107</v>
      </c>
      <c r="D155">
        <v>7</v>
      </c>
      <c r="E155" t="s">
        <v>10</v>
      </c>
      <c r="F155" t="s">
        <v>67</v>
      </c>
      <c r="G155" t="s">
        <v>12</v>
      </c>
      <c r="H155" s="1">
        <v>44902</v>
      </c>
      <c r="I155" t="s">
        <v>186</v>
      </c>
      <c r="J155" t="s">
        <v>17</v>
      </c>
      <c r="K155" t="s">
        <v>18</v>
      </c>
      <c r="L155" s="3">
        <f>IF(Sales_Table[[#This Row],[Revenue]]=0,0,Sales_Table[[#This Row],[Revenue]]/Sales_Table[[#This Row],[Profit]])</f>
        <v>2.8519221642145229</v>
      </c>
    </row>
    <row r="156" spans="1:12" x14ac:dyDescent="0.5">
      <c r="A156" t="s">
        <v>185</v>
      </c>
      <c r="B156">
        <v>6009</v>
      </c>
      <c r="C156">
        <v>2107</v>
      </c>
      <c r="D156">
        <v>7</v>
      </c>
      <c r="E156" t="s">
        <v>10</v>
      </c>
      <c r="F156" t="s">
        <v>67</v>
      </c>
      <c r="G156" t="s">
        <v>12</v>
      </c>
      <c r="H156" s="1">
        <v>45411</v>
      </c>
      <c r="I156" t="s">
        <v>187</v>
      </c>
      <c r="J156" t="s">
        <v>59</v>
      </c>
      <c r="K156" t="s">
        <v>71</v>
      </c>
      <c r="L156" s="3">
        <f>IF(Sales_Table[[#This Row],[Revenue]]=0,0,Sales_Table[[#This Row],[Revenue]]/Sales_Table[[#This Row],[Profit]])</f>
        <v>2.8519221642145229</v>
      </c>
    </row>
    <row r="157" spans="1:12" x14ac:dyDescent="0.5">
      <c r="A157" t="s">
        <v>185</v>
      </c>
      <c r="B157">
        <v>2858</v>
      </c>
      <c r="C157">
        <v>230</v>
      </c>
      <c r="D157">
        <v>3</v>
      </c>
      <c r="E157" t="s">
        <v>36</v>
      </c>
      <c r="F157" t="s">
        <v>37</v>
      </c>
      <c r="G157" t="s">
        <v>38</v>
      </c>
      <c r="H157" s="1">
        <v>44902</v>
      </c>
      <c r="I157" t="s">
        <v>186</v>
      </c>
      <c r="J157" t="s">
        <v>17</v>
      </c>
      <c r="K157" t="s">
        <v>18</v>
      </c>
      <c r="L157" s="3">
        <f>IF(Sales_Table[[#This Row],[Revenue]]=0,0,Sales_Table[[#This Row],[Revenue]]/Sales_Table[[#This Row],[Profit]])</f>
        <v>12.42608695652174</v>
      </c>
    </row>
    <row r="158" spans="1:12" x14ac:dyDescent="0.5">
      <c r="A158" t="s">
        <v>185</v>
      </c>
      <c r="B158">
        <v>2858</v>
      </c>
      <c r="C158">
        <v>230</v>
      </c>
      <c r="D158">
        <v>3</v>
      </c>
      <c r="E158" t="s">
        <v>36</v>
      </c>
      <c r="F158" t="s">
        <v>37</v>
      </c>
      <c r="G158" t="s">
        <v>38</v>
      </c>
      <c r="H158" s="1">
        <v>45411</v>
      </c>
      <c r="I158" t="s">
        <v>187</v>
      </c>
      <c r="J158" t="s">
        <v>59</v>
      </c>
      <c r="K158" t="s">
        <v>71</v>
      </c>
      <c r="L158" s="3">
        <f>IF(Sales_Table[[#This Row],[Revenue]]=0,0,Sales_Table[[#This Row],[Revenue]]/Sales_Table[[#This Row],[Profit]])</f>
        <v>12.42608695652174</v>
      </c>
    </row>
    <row r="159" spans="1:12" x14ac:dyDescent="0.5">
      <c r="A159" t="s">
        <v>185</v>
      </c>
      <c r="B159">
        <v>8175</v>
      </c>
      <c r="C159">
        <v>525</v>
      </c>
      <c r="D159">
        <v>7</v>
      </c>
      <c r="E159" t="s">
        <v>36</v>
      </c>
      <c r="F159" t="s">
        <v>48</v>
      </c>
      <c r="G159" t="s">
        <v>38</v>
      </c>
      <c r="H159" s="1">
        <v>44902</v>
      </c>
      <c r="I159" t="s">
        <v>186</v>
      </c>
      <c r="J159" t="s">
        <v>17</v>
      </c>
      <c r="K159" t="s">
        <v>18</v>
      </c>
      <c r="L159" s="3">
        <f>IF(Sales_Table[[#This Row],[Revenue]]=0,0,Sales_Table[[#This Row],[Revenue]]/Sales_Table[[#This Row],[Profit]])</f>
        <v>15.571428571428571</v>
      </c>
    </row>
    <row r="160" spans="1:12" x14ac:dyDescent="0.5">
      <c r="A160" t="s">
        <v>185</v>
      </c>
      <c r="B160">
        <v>8175</v>
      </c>
      <c r="C160">
        <v>525</v>
      </c>
      <c r="D160">
        <v>7</v>
      </c>
      <c r="E160" t="s">
        <v>36</v>
      </c>
      <c r="F160" t="s">
        <v>48</v>
      </c>
      <c r="G160" t="s">
        <v>38</v>
      </c>
      <c r="H160" s="1">
        <v>45411</v>
      </c>
      <c r="I160" t="s">
        <v>187</v>
      </c>
      <c r="J160" t="s">
        <v>59</v>
      </c>
      <c r="K160" t="s">
        <v>71</v>
      </c>
      <c r="L160" s="3">
        <f>IF(Sales_Table[[#This Row],[Revenue]]=0,0,Sales_Table[[#This Row],[Revenue]]/Sales_Table[[#This Row],[Profit]])</f>
        <v>15.571428571428571</v>
      </c>
    </row>
    <row r="161" spans="1:12" x14ac:dyDescent="0.5">
      <c r="A161" t="s">
        <v>185</v>
      </c>
      <c r="B161">
        <v>5846</v>
      </c>
      <c r="C161">
        <v>586</v>
      </c>
      <c r="D161">
        <v>18</v>
      </c>
      <c r="E161" t="s">
        <v>36</v>
      </c>
      <c r="F161" t="s">
        <v>48</v>
      </c>
      <c r="G161" t="s">
        <v>12</v>
      </c>
      <c r="H161" s="1">
        <v>44902</v>
      </c>
      <c r="I161" t="s">
        <v>186</v>
      </c>
      <c r="J161" t="s">
        <v>17</v>
      </c>
      <c r="K161" t="s">
        <v>18</v>
      </c>
      <c r="L161" s="3">
        <f>IF(Sales_Table[[#This Row],[Revenue]]=0,0,Sales_Table[[#This Row],[Revenue]]/Sales_Table[[#This Row],[Profit]])</f>
        <v>9.9761092150170647</v>
      </c>
    </row>
    <row r="162" spans="1:12" x14ac:dyDescent="0.5">
      <c r="A162" t="s">
        <v>185</v>
      </c>
      <c r="B162">
        <v>5846</v>
      </c>
      <c r="C162">
        <v>586</v>
      </c>
      <c r="D162">
        <v>18</v>
      </c>
      <c r="E162" t="s">
        <v>36</v>
      </c>
      <c r="F162" t="s">
        <v>48</v>
      </c>
      <c r="G162" t="s">
        <v>12</v>
      </c>
      <c r="H162" s="1">
        <v>45411</v>
      </c>
      <c r="I162" t="s">
        <v>187</v>
      </c>
      <c r="J162" t="s">
        <v>59</v>
      </c>
      <c r="K162" t="s">
        <v>71</v>
      </c>
      <c r="L162" s="3">
        <f>IF(Sales_Table[[#This Row],[Revenue]]=0,0,Sales_Table[[#This Row],[Revenue]]/Sales_Table[[#This Row],[Profit]])</f>
        <v>9.9761092150170647</v>
      </c>
    </row>
    <row r="163" spans="1:12" x14ac:dyDescent="0.5">
      <c r="A163" t="s">
        <v>188</v>
      </c>
      <c r="B163">
        <v>706</v>
      </c>
      <c r="C163">
        <v>197</v>
      </c>
      <c r="D163">
        <v>11</v>
      </c>
      <c r="E163" t="s">
        <v>10</v>
      </c>
      <c r="F163" t="s">
        <v>31</v>
      </c>
      <c r="G163" t="s">
        <v>38</v>
      </c>
      <c r="H163" s="1">
        <v>44563</v>
      </c>
      <c r="I163" t="s">
        <v>189</v>
      </c>
      <c r="J163" t="s">
        <v>59</v>
      </c>
      <c r="K163" t="s">
        <v>71</v>
      </c>
      <c r="L163" s="3">
        <f>IF(Sales_Table[[#This Row],[Revenue]]=0,0,Sales_Table[[#This Row],[Revenue]]/Sales_Table[[#This Row],[Profit]])</f>
        <v>3.5837563451776648</v>
      </c>
    </row>
    <row r="164" spans="1:12" x14ac:dyDescent="0.5">
      <c r="A164" t="s">
        <v>190</v>
      </c>
      <c r="B164">
        <v>9835</v>
      </c>
      <c r="C164">
        <v>2571</v>
      </c>
      <c r="D164">
        <v>16</v>
      </c>
      <c r="E164" t="s">
        <v>36</v>
      </c>
      <c r="F164" t="s">
        <v>37</v>
      </c>
      <c r="G164" t="s">
        <v>53</v>
      </c>
      <c r="H164" s="1">
        <v>44722</v>
      </c>
      <c r="I164" t="s">
        <v>191</v>
      </c>
      <c r="J164" t="s">
        <v>59</v>
      </c>
      <c r="K164" t="s">
        <v>60</v>
      </c>
      <c r="L164" s="3">
        <f>IF(Sales_Table[[#This Row],[Revenue]]=0,0,Sales_Table[[#This Row],[Revenue]]/Sales_Table[[#This Row],[Profit]])</f>
        <v>3.8253597821859198</v>
      </c>
    </row>
    <row r="165" spans="1:12" x14ac:dyDescent="0.5">
      <c r="A165" t="s">
        <v>190</v>
      </c>
      <c r="B165">
        <v>9835</v>
      </c>
      <c r="C165">
        <v>2571</v>
      </c>
      <c r="D165">
        <v>16</v>
      </c>
      <c r="E165" t="s">
        <v>36</v>
      </c>
      <c r="F165" t="s">
        <v>37</v>
      </c>
      <c r="G165" t="s">
        <v>53</v>
      </c>
      <c r="H165" s="1">
        <v>44516</v>
      </c>
      <c r="I165" t="s">
        <v>192</v>
      </c>
      <c r="J165" t="s">
        <v>14</v>
      </c>
      <c r="K165" t="s">
        <v>28</v>
      </c>
      <c r="L165" s="3">
        <f>IF(Sales_Table[[#This Row],[Revenue]]=0,0,Sales_Table[[#This Row],[Revenue]]/Sales_Table[[#This Row],[Profit]])</f>
        <v>3.8253597821859198</v>
      </c>
    </row>
    <row r="166" spans="1:12" x14ac:dyDescent="0.5">
      <c r="A166" t="s">
        <v>190</v>
      </c>
      <c r="B166">
        <v>9835</v>
      </c>
      <c r="C166">
        <v>2571</v>
      </c>
      <c r="D166">
        <v>16</v>
      </c>
      <c r="E166" t="s">
        <v>36</v>
      </c>
      <c r="F166" t="s">
        <v>37</v>
      </c>
      <c r="G166" t="s">
        <v>53</v>
      </c>
      <c r="H166" s="1">
        <v>44790</v>
      </c>
      <c r="I166" t="s">
        <v>193</v>
      </c>
      <c r="J166" t="s">
        <v>34</v>
      </c>
      <c r="K166" t="s">
        <v>35</v>
      </c>
      <c r="L166" s="3">
        <f>IF(Sales_Table[[#This Row],[Revenue]]=0,0,Sales_Table[[#This Row],[Revenue]]/Sales_Table[[#This Row],[Profit]])</f>
        <v>3.8253597821859198</v>
      </c>
    </row>
    <row r="167" spans="1:12" x14ac:dyDescent="0.5">
      <c r="A167" t="s">
        <v>190</v>
      </c>
      <c r="B167">
        <v>9691</v>
      </c>
      <c r="C167">
        <v>3056</v>
      </c>
      <c r="D167">
        <v>13</v>
      </c>
      <c r="E167" t="s">
        <v>24</v>
      </c>
      <c r="F167" t="s">
        <v>46</v>
      </c>
      <c r="G167" t="s">
        <v>38</v>
      </c>
      <c r="H167" s="1">
        <v>44722</v>
      </c>
      <c r="I167" t="s">
        <v>191</v>
      </c>
      <c r="J167" t="s">
        <v>59</v>
      </c>
      <c r="K167" t="s">
        <v>60</v>
      </c>
      <c r="L167" s="3">
        <f>IF(Sales_Table[[#This Row],[Revenue]]=0,0,Sales_Table[[#This Row],[Revenue]]/Sales_Table[[#This Row],[Profit]])</f>
        <v>3.1711387434554972</v>
      </c>
    </row>
    <row r="168" spans="1:12" x14ac:dyDescent="0.5">
      <c r="A168" t="s">
        <v>190</v>
      </c>
      <c r="B168">
        <v>9691</v>
      </c>
      <c r="C168">
        <v>3056</v>
      </c>
      <c r="D168">
        <v>13</v>
      </c>
      <c r="E168" t="s">
        <v>24</v>
      </c>
      <c r="F168" t="s">
        <v>46</v>
      </c>
      <c r="G168" t="s">
        <v>38</v>
      </c>
      <c r="H168" s="1">
        <v>44516</v>
      </c>
      <c r="I168" t="s">
        <v>192</v>
      </c>
      <c r="J168" t="s">
        <v>14</v>
      </c>
      <c r="K168" t="s">
        <v>28</v>
      </c>
      <c r="L168" s="3">
        <f>IF(Sales_Table[[#This Row],[Revenue]]=0,0,Sales_Table[[#This Row],[Revenue]]/Sales_Table[[#This Row],[Profit]])</f>
        <v>3.1711387434554972</v>
      </c>
    </row>
    <row r="169" spans="1:12" x14ac:dyDescent="0.5">
      <c r="A169" t="s">
        <v>190</v>
      </c>
      <c r="B169">
        <v>9691</v>
      </c>
      <c r="C169">
        <v>3056</v>
      </c>
      <c r="D169">
        <v>13</v>
      </c>
      <c r="E169" t="s">
        <v>24</v>
      </c>
      <c r="F169" t="s">
        <v>46</v>
      </c>
      <c r="G169" t="s">
        <v>38</v>
      </c>
      <c r="H169" s="1">
        <v>44790</v>
      </c>
      <c r="I169" t="s">
        <v>193</v>
      </c>
      <c r="J169" t="s">
        <v>34</v>
      </c>
      <c r="K169" t="s">
        <v>35</v>
      </c>
      <c r="L169" s="3">
        <f>IF(Sales_Table[[#This Row],[Revenue]]=0,0,Sales_Table[[#This Row],[Revenue]]/Sales_Table[[#This Row],[Profit]])</f>
        <v>3.1711387434554972</v>
      </c>
    </row>
    <row r="170" spans="1:12" x14ac:dyDescent="0.5">
      <c r="A170" t="s">
        <v>190</v>
      </c>
      <c r="B170">
        <v>7826</v>
      </c>
      <c r="C170">
        <v>1221</v>
      </c>
      <c r="D170">
        <v>14</v>
      </c>
      <c r="E170" t="s">
        <v>36</v>
      </c>
      <c r="F170" t="s">
        <v>87</v>
      </c>
      <c r="G170" t="s">
        <v>12</v>
      </c>
      <c r="H170" s="1">
        <v>44722</v>
      </c>
      <c r="I170" t="s">
        <v>191</v>
      </c>
      <c r="J170" t="s">
        <v>59</v>
      </c>
      <c r="K170" t="s">
        <v>60</v>
      </c>
      <c r="L170" s="3">
        <f>IF(Sales_Table[[#This Row],[Revenue]]=0,0,Sales_Table[[#This Row],[Revenue]]/Sales_Table[[#This Row],[Profit]])</f>
        <v>6.4095004095004091</v>
      </c>
    </row>
    <row r="171" spans="1:12" x14ac:dyDescent="0.5">
      <c r="A171" t="s">
        <v>190</v>
      </c>
      <c r="B171">
        <v>7826</v>
      </c>
      <c r="C171">
        <v>1221</v>
      </c>
      <c r="D171">
        <v>14</v>
      </c>
      <c r="E171" t="s">
        <v>36</v>
      </c>
      <c r="F171" t="s">
        <v>87</v>
      </c>
      <c r="G171" t="s">
        <v>12</v>
      </c>
      <c r="H171" s="1">
        <v>44516</v>
      </c>
      <c r="I171" t="s">
        <v>192</v>
      </c>
      <c r="J171" t="s">
        <v>14</v>
      </c>
      <c r="K171" t="s">
        <v>28</v>
      </c>
      <c r="L171" s="3">
        <f>IF(Sales_Table[[#This Row],[Revenue]]=0,0,Sales_Table[[#This Row],[Revenue]]/Sales_Table[[#This Row],[Profit]])</f>
        <v>6.4095004095004091</v>
      </c>
    </row>
    <row r="172" spans="1:12" x14ac:dyDescent="0.5">
      <c r="A172" t="s">
        <v>190</v>
      </c>
      <c r="B172">
        <v>7826</v>
      </c>
      <c r="C172">
        <v>1221</v>
      </c>
      <c r="D172">
        <v>14</v>
      </c>
      <c r="E172" t="s">
        <v>36</v>
      </c>
      <c r="F172" t="s">
        <v>87</v>
      </c>
      <c r="G172" t="s">
        <v>12</v>
      </c>
      <c r="H172" s="1">
        <v>44790</v>
      </c>
      <c r="I172" t="s">
        <v>193</v>
      </c>
      <c r="J172" t="s">
        <v>34</v>
      </c>
      <c r="K172" t="s">
        <v>35</v>
      </c>
      <c r="L172" s="3">
        <f>IF(Sales_Table[[#This Row],[Revenue]]=0,0,Sales_Table[[#This Row],[Revenue]]/Sales_Table[[#This Row],[Profit]])</f>
        <v>6.4095004095004091</v>
      </c>
    </row>
    <row r="173" spans="1:12" x14ac:dyDescent="0.5">
      <c r="A173" t="s">
        <v>194</v>
      </c>
      <c r="B173">
        <v>770</v>
      </c>
      <c r="C173">
        <v>241</v>
      </c>
      <c r="D173">
        <v>11</v>
      </c>
      <c r="E173" t="s">
        <v>36</v>
      </c>
      <c r="F173" t="s">
        <v>48</v>
      </c>
      <c r="G173" t="s">
        <v>53</v>
      </c>
      <c r="H173" s="1">
        <v>44523</v>
      </c>
      <c r="I173" t="s">
        <v>195</v>
      </c>
      <c r="J173" t="s">
        <v>59</v>
      </c>
      <c r="K173" t="s">
        <v>71</v>
      </c>
      <c r="L173" s="3">
        <f>IF(Sales_Table[[#This Row],[Revenue]]=0,0,Sales_Table[[#This Row],[Revenue]]/Sales_Table[[#This Row],[Profit]])</f>
        <v>3.195020746887967</v>
      </c>
    </row>
    <row r="174" spans="1:12" x14ac:dyDescent="0.5">
      <c r="A174" t="s">
        <v>194</v>
      </c>
      <c r="B174">
        <v>770</v>
      </c>
      <c r="C174">
        <v>241</v>
      </c>
      <c r="D174">
        <v>11</v>
      </c>
      <c r="E174" t="s">
        <v>36</v>
      </c>
      <c r="F174" t="s">
        <v>48</v>
      </c>
      <c r="G174" t="s">
        <v>53</v>
      </c>
      <c r="H174" s="1">
        <v>44989</v>
      </c>
      <c r="I174" t="s">
        <v>196</v>
      </c>
      <c r="J174" t="s">
        <v>79</v>
      </c>
      <c r="K174" t="s">
        <v>86</v>
      </c>
      <c r="L174" s="3">
        <f>IF(Sales_Table[[#This Row],[Revenue]]=0,0,Sales_Table[[#This Row],[Revenue]]/Sales_Table[[#This Row],[Profit]])</f>
        <v>3.195020746887967</v>
      </c>
    </row>
    <row r="175" spans="1:12" x14ac:dyDescent="0.5">
      <c r="A175" t="s">
        <v>197</v>
      </c>
      <c r="B175">
        <v>9895</v>
      </c>
      <c r="C175">
        <v>1598</v>
      </c>
      <c r="D175">
        <v>20</v>
      </c>
      <c r="E175" t="s">
        <v>36</v>
      </c>
      <c r="F175" t="s">
        <v>87</v>
      </c>
      <c r="G175" t="s">
        <v>53</v>
      </c>
      <c r="H175" s="1">
        <v>45276</v>
      </c>
      <c r="I175" t="s">
        <v>198</v>
      </c>
      <c r="J175" t="s">
        <v>20</v>
      </c>
      <c r="K175" t="s">
        <v>56</v>
      </c>
      <c r="L175" s="3">
        <f>IF(Sales_Table[[#This Row],[Revenue]]=0,0,Sales_Table[[#This Row],[Revenue]]/Sales_Table[[#This Row],[Profit]])</f>
        <v>6.1921151439299127</v>
      </c>
    </row>
    <row r="176" spans="1:12" x14ac:dyDescent="0.5">
      <c r="A176" t="s">
        <v>199</v>
      </c>
      <c r="B176">
        <v>6517</v>
      </c>
      <c r="C176">
        <v>1581</v>
      </c>
      <c r="D176">
        <v>10</v>
      </c>
      <c r="E176" t="s">
        <v>24</v>
      </c>
      <c r="F176" t="s">
        <v>52</v>
      </c>
      <c r="G176" t="s">
        <v>26</v>
      </c>
      <c r="H176" s="1">
        <v>45431</v>
      </c>
      <c r="I176" t="s">
        <v>200</v>
      </c>
      <c r="J176" t="s">
        <v>14</v>
      </c>
      <c r="K176" t="s">
        <v>15</v>
      </c>
      <c r="L176" s="3">
        <f>IF(Sales_Table[[#This Row],[Revenue]]=0,0,Sales_Table[[#This Row],[Revenue]]/Sales_Table[[#This Row],[Profit]])</f>
        <v>4.1220746363061354</v>
      </c>
    </row>
    <row r="177" spans="1:12" x14ac:dyDescent="0.5">
      <c r="A177" t="s">
        <v>199</v>
      </c>
      <c r="B177">
        <v>6517</v>
      </c>
      <c r="C177">
        <v>1581</v>
      </c>
      <c r="D177">
        <v>10</v>
      </c>
      <c r="E177" t="s">
        <v>24</v>
      </c>
      <c r="F177" t="s">
        <v>52</v>
      </c>
      <c r="G177" t="s">
        <v>26</v>
      </c>
      <c r="H177" s="1">
        <v>43965</v>
      </c>
      <c r="I177" t="s">
        <v>201</v>
      </c>
      <c r="J177" t="s">
        <v>14</v>
      </c>
      <c r="K177" t="s">
        <v>118</v>
      </c>
      <c r="L177" s="3">
        <f>IF(Sales_Table[[#This Row],[Revenue]]=0,0,Sales_Table[[#This Row],[Revenue]]/Sales_Table[[#This Row],[Profit]])</f>
        <v>4.1220746363061354</v>
      </c>
    </row>
    <row r="178" spans="1:12" x14ac:dyDescent="0.5">
      <c r="A178" t="s">
        <v>199</v>
      </c>
      <c r="B178">
        <v>1166</v>
      </c>
      <c r="C178">
        <v>349</v>
      </c>
      <c r="D178">
        <v>11</v>
      </c>
      <c r="E178" t="s">
        <v>36</v>
      </c>
      <c r="F178" t="s">
        <v>37</v>
      </c>
      <c r="G178" t="s">
        <v>38</v>
      </c>
      <c r="H178" s="1">
        <v>45431</v>
      </c>
      <c r="I178" t="s">
        <v>200</v>
      </c>
      <c r="J178" t="s">
        <v>14</v>
      </c>
      <c r="K178" t="s">
        <v>15</v>
      </c>
      <c r="L178" s="3">
        <f>IF(Sales_Table[[#This Row],[Revenue]]=0,0,Sales_Table[[#This Row],[Revenue]]/Sales_Table[[#This Row],[Profit]])</f>
        <v>3.3409742120343839</v>
      </c>
    </row>
    <row r="179" spans="1:12" x14ac:dyDescent="0.5">
      <c r="A179" t="s">
        <v>199</v>
      </c>
      <c r="B179">
        <v>1166</v>
      </c>
      <c r="C179">
        <v>349</v>
      </c>
      <c r="D179">
        <v>11</v>
      </c>
      <c r="E179" t="s">
        <v>36</v>
      </c>
      <c r="F179" t="s">
        <v>37</v>
      </c>
      <c r="G179" t="s">
        <v>38</v>
      </c>
      <c r="H179" s="1">
        <v>43965</v>
      </c>
      <c r="I179" t="s">
        <v>201</v>
      </c>
      <c r="J179" t="s">
        <v>14</v>
      </c>
      <c r="K179" t="s">
        <v>118</v>
      </c>
      <c r="L179" s="3">
        <f>IF(Sales_Table[[#This Row],[Revenue]]=0,0,Sales_Table[[#This Row],[Revenue]]/Sales_Table[[#This Row],[Profit]])</f>
        <v>3.3409742120343839</v>
      </c>
    </row>
    <row r="180" spans="1:12" x14ac:dyDescent="0.5">
      <c r="A180" t="s">
        <v>202</v>
      </c>
      <c r="B180">
        <v>9820</v>
      </c>
      <c r="C180">
        <v>793</v>
      </c>
      <c r="D180">
        <v>16</v>
      </c>
      <c r="E180" t="s">
        <v>36</v>
      </c>
      <c r="F180" t="s">
        <v>40</v>
      </c>
      <c r="G180" t="s">
        <v>38</v>
      </c>
      <c r="H180" s="1">
        <v>44437</v>
      </c>
      <c r="I180" t="s">
        <v>203</v>
      </c>
      <c r="J180" t="s">
        <v>20</v>
      </c>
      <c r="K180" t="s">
        <v>21</v>
      </c>
      <c r="L180" s="3">
        <f>IF(Sales_Table[[#This Row],[Revenue]]=0,0,Sales_Table[[#This Row],[Revenue]]/Sales_Table[[#This Row],[Profit]])</f>
        <v>12.383354350567465</v>
      </c>
    </row>
    <row r="181" spans="1:12" x14ac:dyDescent="0.5">
      <c r="A181" t="s">
        <v>204</v>
      </c>
      <c r="B181">
        <v>8563</v>
      </c>
      <c r="C181">
        <v>2624</v>
      </c>
      <c r="D181">
        <v>8</v>
      </c>
      <c r="E181" t="s">
        <v>24</v>
      </c>
      <c r="F181" t="s">
        <v>64</v>
      </c>
      <c r="G181" t="s">
        <v>53</v>
      </c>
      <c r="H181" s="1">
        <v>45606</v>
      </c>
      <c r="I181" t="s">
        <v>205</v>
      </c>
      <c r="J181" t="s">
        <v>59</v>
      </c>
      <c r="K181" t="s">
        <v>60</v>
      </c>
      <c r="L181" s="3">
        <f>IF(Sales_Table[[#This Row],[Revenue]]=0,0,Sales_Table[[#This Row],[Revenue]]/Sales_Table[[#This Row],[Profit]])</f>
        <v>3.2633384146341462</v>
      </c>
    </row>
    <row r="182" spans="1:12" x14ac:dyDescent="0.5">
      <c r="A182" t="s">
        <v>204</v>
      </c>
      <c r="B182">
        <v>4441</v>
      </c>
      <c r="C182">
        <v>281</v>
      </c>
      <c r="D182">
        <v>20</v>
      </c>
      <c r="E182" t="s">
        <v>10</v>
      </c>
      <c r="F182" t="s">
        <v>22</v>
      </c>
      <c r="G182" t="s">
        <v>53</v>
      </c>
      <c r="H182" s="1">
        <v>45606</v>
      </c>
      <c r="I182" t="s">
        <v>205</v>
      </c>
      <c r="J182" t="s">
        <v>59</v>
      </c>
      <c r="K182" t="s">
        <v>60</v>
      </c>
      <c r="L182" s="3">
        <f>IF(Sales_Table[[#This Row],[Revenue]]=0,0,Sales_Table[[#This Row],[Revenue]]/Sales_Table[[#This Row],[Profit]])</f>
        <v>15.804270462633452</v>
      </c>
    </row>
    <row r="183" spans="1:12" x14ac:dyDescent="0.5">
      <c r="A183" t="s">
        <v>206</v>
      </c>
      <c r="B183">
        <v>7340</v>
      </c>
      <c r="C183">
        <v>2271</v>
      </c>
      <c r="D183">
        <v>8</v>
      </c>
      <c r="E183" t="s">
        <v>24</v>
      </c>
      <c r="F183" t="s">
        <v>52</v>
      </c>
      <c r="G183" t="s">
        <v>32</v>
      </c>
      <c r="H183" s="1">
        <v>44535</v>
      </c>
      <c r="I183" t="s">
        <v>207</v>
      </c>
      <c r="J183" t="s">
        <v>14</v>
      </c>
      <c r="K183" t="s">
        <v>28</v>
      </c>
      <c r="L183" s="3">
        <f>IF(Sales_Table[[#This Row],[Revenue]]=0,0,Sales_Table[[#This Row],[Revenue]]/Sales_Table[[#This Row],[Profit]])</f>
        <v>3.2320563628357553</v>
      </c>
    </row>
    <row r="184" spans="1:12" x14ac:dyDescent="0.5">
      <c r="A184" t="s">
        <v>206</v>
      </c>
      <c r="B184">
        <v>5442</v>
      </c>
      <c r="C184">
        <v>1610</v>
      </c>
      <c r="D184">
        <v>1</v>
      </c>
      <c r="E184" t="s">
        <v>10</v>
      </c>
      <c r="F184" t="s">
        <v>67</v>
      </c>
      <c r="G184" t="s">
        <v>32</v>
      </c>
      <c r="H184" s="1">
        <v>44535</v>
      </c>
      <c r="I184" t="s">
        <v>207</v>
      </c>
      <c r="J184" t="s">
        <v>14</v>
      </c>
      <c r="K184" t="s">
        <v>28</v>
      </c>
      <c r="L184" s="3">
        <f>IF(Sales_Table[[#This Row],[Revenue]]=0,0,Sales_Table[[#This Row],[Revenue]]/Sales_Table[[#This Row],[Profit]])</f>
        <v>3.3801242236024844</v>
      </c>
    </row>
    <row r="185" spans="1:12" x14ac:dyDescent="0.5">
      <c r="A185" t="s">
        <v>208</v>
      </c>
      <c r="B185">
        <v>1895</v>
      </c>
      <c r="C185">
        <v>391</v>
      </c>
      <c r="D185">
        <v>14</v>
      </c>
      <c r="E185" t="s">
        <v>36</v>
      </c>
      <c r="F185" t="s">
        <v>37</v>
      </c>
      <c r="G185" t="s">
        <v>12</v>
      </c>
      <c r="H185" s="1">
        <v>45478</v>
      </c>
      <c r="I185" t="s">
        <v>209</v>
      </c>
      <c r="J185" t="s">
        <v>14</v>
      </c>
      <c r="K185" t="s">
        <v>118</v>
      </c>
      <c r="L185" s="3">
        <f>IF(Sales_Table[[#This Row],[Revenue]]=0,0,Sales_Table[[#This Row],[Revenue]]/Sales_Table[[#This Row],[Profit]])</f>
        <v>4.8465473145780047</v>
      </c>
    </row>
    <row r="186" spans="1:12" x14ac:dyDescent="0.5">
      <c r="A186" t="s">
        <v>208</v>
      </c>
      <c r="B186">
        <v>5323</v>
      </c>
      <c r="C186">
        <v>322</v>
      </c>
      <c r="D186">
        <v>13</v>
      </c>
      <c r="E186" t="s">
        <v>24</v>
      </c>
      <c r="F186" t="s">
        <v>64</v>
      </c>
      <c r="G186" t="s">
        <v>53</v>
      </c>
      <c r="H186" s="1">
        <v>45478</v>
      </c>
      <c r="I186" t="s">
        <v>209</v>
      </c>
      <c r="J186" t="s">
        <v>14</v>
      </c>
      <c r="K186" t="s">
        <v>118</v>
      </c>
      <c r="L186" s="3">
        <f>IF(Sales_Table[[#This Row],[Revenue]]=0,0,Sales_Table[[#This Row],[Revenue]]/Sales_Table[[#This Row],[Profit]])</f>
        <v>16.531055900621119</v>
      </c>
    </row>
    <row r="187" spans="1:12" x14ac:dyDescent="0.5">
      <c r="A187" t="s">
        <v>210</v>
      </c>
      <c r="B187">
        <v>8850</v>
      </c>
      <c r="C187">
        <v>279</v>
      </c>
      <c r="D187">
        <v>13</v>
      </c>
      <c r="E187" t="s">
        <v>24</v>
      </c>
      <c r="F187" t="s">
        <v>46</v>
      </c>
      <c r="G187" t="s">
        <v>26</v>
      </c>
      <c r="H187" s="1">
        <v>45468</v>
      </c>
      <c r="I187" t="s">
        <v>211</v>
      </c>
      <c r="J187" t="s">
        <v>14</v>
      </c>
      <c r="K187" t="s">
        <v>15</v>
      </c>
      <c r="L187" s="3">
        <f>IF(Sales_Table[[#This Row],[Revenue]]=0,0,Sales_Table[[#This Row],[Revenue]]/Sales_Table[[#This Row],[Profit]])</f>
        <v>31.72043010752688</v>
      </c>
    </row>
    <row r="188" spans="1:12" x14ac:dyDescent="0.5">
      <c r="A188" t="s">
        <v>210</v>
      </c>
      <c r="B188">
        <v>8667</v>
      </c>
      <c r="C188">
        <v>1266</v>
      </c>
      <c r="D188">
        <v>6</v>
      </c>
      <c r="E188" t="s">
        <v>24</v>
      </c>
      <c r="F188" t="s">
        <v>52</v>
      </c>
      <c r="G188" t="s">
        <v>26</v>
      </c>
      <c r="H188" s="1">
        <v>45468</v>
      </c>
      <c r="I188" t="s">
        <v>211</v>
      </c>
      <c r="J188" t="s">
        <v>14</v>
      </c>
      <c r="K188" t="s">
        <v>15</v>
      </c>
      <c r="L188" s="3">
        <f>IF(Sales_Table[[#This Row],[Revenue]]=0,0,Sales_Table[[#This Row],[Revenue]]/Sales_Table[[#This Row],[Profit]])</f>
        <v>6.8459715639810428</v>
      </c>
    </row>
    <row r="189" spans="1:12" x14ac:dyDescent="0.5">
      <c r="A189" t="s">
        <v>212</v>
      </c>
      <c r="B189">
        <v>6903</v>
      </c>
      <c r="C189">
        <v>105</v>
      </c>
      <c r="D189">
        <v>1</v>
      </c>
      <c r="E189" t="s">
        <v>36</v>
      </c>
      <c r="F189" t="s">
        <v>37</v>
      </c>
      <c r="G189" t="s">
        <v>53</v>
      </c>
      <c r="H189" s="1">
        <v>45443</v>
      </c>
      <c r="I189" t="s">
        <v>213</v>
      </c>
      <c r="J189" t="s">
        <v>17</v>
      </c>
      <c r="K189" t="s">
        <v>18</v>
      </c>
      <c r="L189" s="3">
        <f>IF(Sales_Table[[#This Row],[Revenue]]=0,0,Sales_Table[[#This Row],[Revenue]]/Sales_Table[[#This Row],[Profit]])</f>
        <v>65.742857142857147</v>
      </c>
    </row>
    <row r="190" spans="1:12" x14ac:dyDescent="0.5">
      <c r="A190" t="s">
        <v>212</v>
      </c>
      <c r="B190">
        <v>8793</v>
      </c>
      <c r="C190">
        <v>3010</v>
      </c>
      <c r="D190">
        <v>7</v>
      </c>
      <c r="E190" t="s">
        <v>24</v>
      </c>
      <c r="F190" t="s">
        <v>25</v>
      </c>
      <c r="G190" t="s">
        <v>53</v>
      </c>
      <c r="H190" s="1">
        <v>45443</v>
      </c>
      <c r="I190" t="s">
        <v>213</v>
      </c>
      <c r="J190" t="s">
        <v>17</v>
      </c>
      <c r="K190" t="s">
        <v>18</v>
      </c>
      <c r="L190" s="3">
        <f>IF(Sales_Table[[#This Row],[Revenue]]=0,0,Sales_Table[[#This Row],[Revenue]]/Sales_Table[[#This Row],[Profit]])</f>
        <v>2.9212624584717606</v>
      </c>
    </row>
    <row r="191" spans="1:12" x14ac:dyDescent="0.5">
      <c r="A191" t="s">
        <v>214</v>
      </c>
      <c r="B191">
        <v>9883</v>
      </c>
      <c r="C191">
        <v>4812</v>
      </c>
      <c r="D191">
        <v>16</v>
      </c>
      <c r="E191" t="s">
        <v>24</v>
      </c>
      <c r="F191" t="s">
        <v>52</v>
      </c>
      <c r="G191" t="s">
        <v>12</v>
      </c>
      <c r="H191" s="1">
        <v>44124</v>
      </c>
      <c r="I191" t="s">
        <v>215</v>
      </c>
      <c r="J191" t="s">
        <v>20</v>
      </c>
      <c r="K191" t="s">
        <v>21</v>
      </c>
      <c r="L191" s="3">
        <f>IF(Sales_Table[[#This Row],[Revenue]]=0,0,Sales_Table[[#This Row],[Revenue]]/Sales_Table[[#This Row],[Profit]])</f>
        <v>2.0538237738985869</v>
      </c>
    </row>
    <row r="192" spans="1:12" x14ac:dyDescent="0.5">
      <c r="A192" t="s">
        <v>214</v>
      </c>
      <c r="B192">
        <v>9883</v>
      </c>
      <c r="C192">
        <v>4812</v>
      </c>
      <c r="D192">
        <v>16</v>
      </c>
      <c r="E192" t="s">
        <v>24</v>
      </c>
      <c r="F192" t="s">
        <v>52</v>
      </c>
      <c r="G192" t="s">
        <v>12</v>
      </c>
      <c r="H192" s="1">
        <v>44784</v>
      </c>
      <c r="I192" t="s">
        <v>216</v>
      </c>
      <c r="J192" t="s">
        <v>14</v>
      </c>
      <c r="K192" t="s">
        <v>28</v>
      </c>
      <c r="L192" s="3">
        <f>IF(Sales_Table[[#This Row],[Revenue]]=0,0,Sales_Table[[#This Row],[Revenue]]/Sales_Table[[#This Row],[Profit]])</f>
        <v>2.0538237738985869</v>
      </c>
    </row>
    <row r="193" spans="1:12" x14ac:dyDescent="0.5">
      <c r="A193" t="s">
        <v>214</v>
      </c>
      <c r="B193">
        <v>9883</v>
      </c>
      <c r="C193">
        <v>4812</v>
      </c>
      <c r="D193">
        <v>16</v>
      </c>
      <c r="E193" t="s">
        <v>24</v>
      </c>
      <c r="F193" t="s">
        <v>52</v>
      </c>
      <c r="G193" t="s">
        <v>12</v>
      </c>
      <c r="H193" s="1">
        <v>44486</v>
      </c>
      <c r="I193" t="s">
        <v>217</v>
      </c>
      <c r="J193" t="s">
        <v>17</v>
      </c>
      <c r="K193" t="s">
        <v>51</v>
      </c>
      <c r="L193" s="3">
        <f>IF(Sales_Table[[#This Row],[Revenue]]=0,0,Sales_Table[[#This Row],[Revenue]]/Sales_Table[[#This Row],[Profit]])</f>
        <v>2.0538237738985869</v>
      </c>
    </row>
    <row r="194" spans="1:12" x14ac:dyDescent="0.5">
      <c r="A194" t="s">
        <v>214</v>
      </c>
      <c r="B194">
        <v>5210</v>
      </c>
      <c r="C194">
        <v>1185</v>
      </c>
      <c r="D194">
        <v>7</v>
      </c>
      <c r="E194" t="s">
        <v>24</v>
      </c>
      <c r="F194" t="s">
        <v>52</v>
      </c>
      <c r="G194" t="s">
        <v>12</v>
      </c>
      <c r="H194" s="1">
        <v>44124</v>
      </c>
      <c r="I194" t="s">
        <v>215</v>
      </c>
      <c r="J194" t="s">
        <v>20</v>
      </c>
      <c r="K194" t="s">
        <v>21</v>
      </c>
      <c r="L194" s="3">
        <f>IF(Sales_Table[[#This Row],[Revenue]]=0,0,Sales_Table[[#This Row],[Revenue]]/Sales_Table[[#This Row],[Profit]])</f>
        <v>4.3966244725738397</v>
      </c>
    </row>
    <row r="195" spans="1:12" x14ac:dyDescent="0.5">
      <c r="A195" t="s">
        <v>214</v>
      </c>
      <c r="B195">
        <v>5210</v>
      </c>
      <c r="C195">
        <v>1185</v>
      </c>
      <c r="D195">
        <v>7</v>
      </c>
      <c r="E195" t="s">
        <v>24</v>
      </c>
      <c r="F195" t="s">
        <v>52</v>
      </c>
      <c r="G195" t="s">
        <v>12</v>
      </c>
      <c r="H195" s="1">
        <v>44784</v>
      </c>
      <c r="I195" t="s">
        <v>216</v>
      </c>
      <c r="J195" t="s">
        <v>14</v>
      </c>
      <c r="K195" t="s">
        <v>28</v>
      </c>
      <c r="L195" s="3">
        <f>IF(Sales_Table[[#This Row],[Revenue]]=0,0,Sales_Table[[#This Row],[Revenue]]/Sales_Table[[#This Row],[Profit]])</f>
        <v>4.3966244725738397</v>
      </c>
    </row>
    <row r="196" spans="1:12" x14ac:dyDescent="0.5">
      <c r="A196" t="s">
        <v>214</v>
      </c>
      <c r="B196">
        <v>5210</v>
      </c>
      <c r="C196">
        <v>1185</v>
      </c>
      <c r="D196">
        <v>7</v>
      </c>
      <c r="E196" t="s">
        <v>24</v>
      </c>
      <c r="F196" t="s">
        <v>52</v>
      </c>
      <c r="G196" t="s">
        <v>12</v>
      </c>
      <c r="H196" s="1">
        <v>44486</v>
      </c>
      <c r="I196" t="s">
        <v>217</v>
      </c>
      <c r="J196" t="s">
        <v>17</v>
      </c>
      <c r="K196" t="s">
        <v>51</v>
      </c>
      <c r="L196" s="3">
        <f>IF(Sales_Table[[#This Row],[Revenue]]=0,0,Sales_Table[[#This Row],[Revenue]]/Sales_Table[[#This Row],[Profit]])</f>
        <v>4.3966244725738397</v>
      </c>
    </row>
    <row r="197" spans="1:12" x14ac:dyDescent="0.5">
      <c r="A197" t="s">
        <v>218</v>
      </c>
      <c r="B197">
        <v>3574</v>
      </c>
      <c r="C197">
        <v>851</v>
      </c>
      <c r="D197">
        <v>4</v>
      </c>
      <c r="E197" t="s">
        <v>10</v>
      </c>
      <c r="F197" t="s">
        <v>22</v>
      </c>
      <c r="G197" t="s">
        <v>38</v>
      </c>
      <c r="H197" s="1">
        <v>44615</v>
      </c>
      <c r="I197" t="s">
        <v>219</v>
      </c>
      <c r="J197" t="s">
        <v>34</v>
      </c>
      <c r="K197" t="s">
        <v>35</v>
      </c>
      <c r="L197" s="3">
        <f>IF(Sales_Table[[#This Row],[Revenue]]=0,0,Sales_Table[[#This Row],[Revenue]]/Sales_Table[[#This Row],[Profit]])</f>
        <v>4.1997649823736785</v>
      </c>
    </row>
    <row r="198" spans="1:12" x14ac:dyDescent="0.5">
      <c r="A198" t="s">
        <v>218</v>
      </c>
      <c r="B198">
        <v>576</v>
      </c>
      <c r="C198">
        <v>76</v>
      </c>
      <c r="D198">
        <v>13</v>
      </c>
      <c r="E198" t="s">
        <v>36</v>
      </c>
      <c r="F198" t="s">
        <v>48</v>
      </c>
      <c r="G198" t="s">
        <v>12</v>
      </c>
      <c r="H198" s="1">
        <v>44615</v>
      </c>
      <c r="I198" t="s">
        <v>219</v>
      </c>
      <c r="J198" t="s">
        <v>34</v>
      </c>
      <c r="K198" t="s">
        <v>35</v>
      </c>
      <c r="L198" s="3">
        <f>IF(Sales_Table[[#This Row],[Revenue]]=0,0,Sales_Table[[#This Row],[Revenue]]/Sales_Table[[#This Row],[Profit]])</f>
        <v>7.5789473684210522</v>
      </c>
    </row>
    <row r="199" spans="1:12" x14ac:dyDescent="0.5">
      <c r="A199" t="s">
        <v>220</v>
      </c>
      <c r="B199">
        <v>1860</v>
      </c>
      <c r="C199">
        <v>457</v>
      </c>
      <c r="D199">
        <v>13</v>
      </c>
      <c r="E199" t="s">
        <v>10</v>
      </c>
      <c r="F199" t="s">
        <v>22</v>
      </c>
      <c r="G199" t="s">
        <v>32</v>
      </c>
      <c r="H199" s="1">
        <v>45189</v>
      </c>
      <c r="I199" t="s">
        <v>221</v>
      </c>
      <c r="J199" t="s">
        <v>79</v>
      </c>
      <c r="K199" t="s">
        <v>94</v>
      </c>
      <c r="L199" s="3">
        <f>IF(Sales_Table[[#This Row],[Revenue]]=0,0,Sales_Table[[#This Row],[Revenue]]/Sales_Table[[#This Row],[Profit]])</f>
        <v>4.0700218818380742</v>
      </c>
    </row>
    <row r="200" spans="1:12" x14ac:dyDescent="0.5">
      <c r="A200" t="s">
        <v>222</v>
      </c>
      <c r="B200">
        <v>782</v>
      </c>
      <c r="C200">
        <v>374</v>
      </c>
      <c r="D200">
        <v>8</v>
      </c>
      <c r="E200" t="s">
        <v>24</v>
      </c>
      <c r="F200" t="s">
        <v>25</v>
      </c>
      <c r="G200" t="s">
        <v>32</v>
      </c>
      <c r="H200" s="1">
        <v>44215</v>
      </c>
      <c r="I200" t="s">
        <v>223</v>
      </c>
      <c r="J200" t="s">
        <v>17</v>
      </c>
      <c r="K200" t="s">
        <v>134</v>
      </c>
      <c r="L200" s="3">
        <f>IF(Sales_Table[[#This Row],[Revenue]]=0,0,Sales_Table[[#This Row],[Revenue]]/Sales_Table[[#This Row],[Profit]])</f>
        <v>2.0909090909090908</v>
      </c>
    </row>
    <row r="201" spans="1:12" x14ac:dyDescent="0.5">
      <c r="A201" t="s">
        <v>222</v>
      </c>
      <c r="B201">
        <v>4371</v>
      </c>
      <c r="C201">
        <v>1852</v>
      </c>
      <c r="D201">
        <v>1</v>
      </c>
      <c r="E201" t="s">
        <v>10</v>
      </c>
      <c r="F201" t="s">
        <v>31</v>
      </c>
      <c r="G201" t="s">
        <v>12</v>
      </c>
      <c r="H201" s="1">
        <v>44215</v>
      </c>
      <c r="I201" t="s">
        <v>223</v>
      </c>
      <c r="J201" t="s">
        <v>17</v>
      </c>
      <c r="K201" t="s">
        <v>134</v>
      </c>
      <c r="L201" s="3">
        <f>IF(Sales_Table[[#This Row],[Revenue]]=0,0,Sales_Table[[#This Row],[Revenue]]/Sales_Table[[#This Row],[Profit]])</f>
        <v>2.3601511879049677</v>
      </c>
    </row>
    <row r="202" spans="1:12" x14ac:dyDescent="0.5">
      <c r="A202" t="s">
        <v>224</v>
      </c>
      <c r="B202">
        <v>8346</v>
      </c>
      <c r="C202">
        <v>1176</v>
      </c>
      <c r="D202">
        <v>1</v>
      </c>
      <c r="E202" t="s">
        <v>10</v>
      </c>
      <c r="F202" t="s">
        <v>67</v>
      </c>
      <c r="G202" t="s">
        <v>53</v>
      </c>
      <c r="H202" s="1">
        <v>44064</v>
      </c>
      <c r="I202" t="s">
        <v>225</v>
      </c>
      <c r="J202" t="s">
        <v>59</v>
      </c>
      <c r="K202" t="s">
        <v>108</v>
      </c>
      <c r="L202" s="3">
        <f>IF(Sales_Table[[#This Row],[Revenue]]=0,0,Sales_Table[[#This Row],[Revenue]]/Sales_Table[[#This Row],[Profit]])</f>
        <v>7.0969387755102042</v>
      </c>
    </row>
    <row r="203" spans="1:12" x14ac:dyDescent="0.5">
      <c r="A203" t="s">
        <v>224</v>
      </c>
      <c r="B203">
        <v>8346</v>
      </c>
      <c r="C203">
        <v>1176</v>
      </c>
      <c r="D203">
        <v>1</v>
      </c>
      <c r="E203" t="s">
        <v>10</v>
      </c>
      <c r="F203" t="s">
        <v>67</v>
      </c>
      <c r="G203" t="s">
        <v>53</v>
      </c>
      <c r="H203" s="1">
        <v>45033</v>
      </c>
      <c r="I203" t="s">
        <v>226</v>
      </c>
      <c r="J203" t="s">
        <v>17</v>
      </c>
      <c r="K203" t="s">
        <v>18</v>
      </c>
      <c r="L203" s="3">
        <f>IF(Sales_Table[[#This Row],[Revenue]]=0,0,Sales_Table[[#This Row],[Revenue]]/Sales_Table[[#This Row],[Profit]])</f>
        <v>7.0969387755102042</v>
      </c>
    </row>
    <row r="204" spans="1:12" x14ac:dyDescent="0.5">
      <c r="A204" t="s">
        <v>224</v>
      </c>
      <c r="B204">
        <v>8346</v>
      </c>
      <c r="C204">
        <v>1176</v>
      </c>
      <c r="D204">
        <v>1</v>
      </c>
      <c r="E204" t="s">
        <v>10</v>
      </c>
      <c r="F204" t="s">
        <v>67</v>
      </c>
      <c r="G204" t="s">
        <v>53</v>
      </c>
      <c r="H204" s="1">
        <v>45284</v>
      </c>
      <c r="I204" t="s">
        <v>227</v>
      </c>
      <c r="J204" t="s">
        <v>34</v>
      </c>
      <c r="K204" t="s">
        <v>75</v>
      </c>
      <c r="L204" s="3">
        <f>IF(Sales_Table[[#This Row],[Revenue]]=0,0,Sales_Table[[#This Row],[Revenue]]/Sales_Table[[#This Row],[Profit]])</f>
        <v>7.0969387755102042</v>
      </c>
    </row>
    <row r="205" spans="1:12" x14ac:dyDescent="0.5">
      <c r="A205" t="s">
        <v>224</v>
      </c>
      <c r="B205">
        <v>6218</v>
      </c>
      <c r="C205">
        <v>1125</v>
      </c>
      <c r="D205">
        <v>5</v>
      </c>
      <c r="E205" t="s">
        <v>36</v>
      </c>
      <c r="F205" t="s">
        <v>37</v>
      </c>
      <c r="G205" t="s">
        <v>26</v>
      </c>
      <c r="H205" s="1">
        <v>44064</v>
      </c>
      <c r="I205" t="s">
        <v>225</v>
      </c>
      <c r="J205" t="s">
        <v>59</v>
      </c>
      <c r="K205" t="s">
        <v>108</v>
      </c>
      <c r="L205" s="3">
        <f>IF(Sales_Table[[#This Row],[Revenue]]=0,0,Sales_Table[[#This Row],[Revenue]]/Sales_Table[[#This Row],[Profit]])</f>
        <v>5.5271111111111111</v>
      </c>
    </row>
    <row r="206" spans="1:12" x14ac:dyDescent="0.5">
      <c r="A206" t="s">
        <v>224</v>
      </c>
      <c r="B206">
        <v>6218</v>
      </c>
      <c r="C206">
        <v>1125</v>
      </c>
      <c r="D206">
        <v>5</v>
      </c>
      <c r="E206" t="s">
        <v>36</v>
      </c>
      <c r="F206" t="s">
        <v>37</v>
      </c>
      <c r="G206" t="s">
        <v>26</v>
      </c>
      <c r="H206" s="1">
        <v>45033</v>
      </c>
      <c r="I206" t="s">
        <v>226</v>
      </c>
      <c r="J206" t="s">
        <v>17</v>
      </c>
      <c r="K206" t="s">
        <v>18</v>
      </c>
      <c r="L206" s="3">
        <f>IF(Sales_Table[[#This Row],[Revenue]]=0,0,Sales_Table[[#This Row],[Revenue]]/Sales_Table[[#This Row],[Profit]])</f>
        <v>5.5271111111111111</v>
      </c>
    </row>
    <row r="207" spans="1:12" x14ac:dyDescent="0.5">
      <c r="A207" t="s">
        <v>224</v>
      </c>
      <c r="B207">
        <v>6218</v>
      </c>
      <c r="C207">
        <v>1125</v>
      </c>
      <c r="D207">
        <v>5</v>
      </c>
      <c r="E207" t="s">
        <v>36</v>
      </c>
      <c r="F207" t="s">
        <v>37</v>
      </c>
      <c r="G207" t="s">
        <v>26</v>
      </c>
      <c r="H207" s="1">
        <v>45284</v>
      </c>
      <c r="I207" t="s">
        <v>227</v>
      </c>
      <c r="J207" t="s">
        <v>34</v>
      </c>
      <c r="K207" t="s">
        <v>75</v>
      </c>
      <c r="L207" s="3">
        <f>IF(Sales_Table[[#This Row],[Revenue]]=0,0,Sales_Table[[#This Row],[Revenue]]/Sales_Table[[#This Row],[Profit]])</f>
        <v>5.5271111111111111</v>
      </c>
    </row>
    <row r="208" spans="1:12" x14ac:dyDescent="0.5">
      <c r="A208" t="s">
        <v>224</v>
      </c>
      <c r="B208">
        <v>5167</v>
      </c>
      <c r="C208">
        <v>253</v>
      </c>
      <c r="D208">
        <v>14</v>
      </c>
      <c r="E208" t="s">
        <v>10</v>
      </c>
      <c r="F208" t="s">
        <v>22</v>
      </c>
      <c r="G208" t="s">
        <v>38</v>
      </c>
      <c r="H208" s="1">
        <v>44064</v>
      </c>
      <c r="I208" t="s">
        <v>225</v>
      </c>
      <c r="J208" t="s">
        <v>59</v>
      </c>
      <c r="K208" t="s">
        <v>108</v>
      </c>
      <c r="L208" s="3">
        <f>IF(Sales_Table[[#This Row],[Revenue]]=0,0,Sales_Table[[#This Row],[Revenue]]/Sales_Table[[#This Row],[Profit]])</f>
        <v>20.42292490118577</v>
      </c>
    </row>
    <row r="209" spans="1:12" x14ac:dyDescent="0.5">
      <c r="A209" t="s">
        <v>224</v>
      </c>
      <c r="B209">
        <v>5167</v>
      </c>
      <c r="C209">
        <v>253</v>
      </c>
      <c r="D209">
        <v>14</v>
      </c>
      <c r="E209" t="s">
        <v>10</v>
      </c>
      <c r="F209" t="s">
        <v>22</v>
      </c>
      <c r="G209" t="s">
        <v>38</v>
      </c>
      <c r="H209" s="1">
        <v>45033</v>
      </c>
      <c r="I209" t="s">
        <v>226</v>
      </c>
      <c r="J209" t="s">
        <v>17</v>
      </c>
      <c r="K209" t="s">
        <v>18</v>
      </c>
      <c r="L209" s="3">
        <f>IF(Sales_Table[[#This Row],[Revenue]]=0,0,Sales_Table[[#This Row],[Revenue]]/Sales_Table[[#This Row],[Profit]])</f>
        <v>20.42292490118577</v>
      </c>
    </row>
    <row r="210" spans="1:12" x14ac:dyDescent="0.5">
      <c r="A210" t="s">
        <v>224</v>
      </c>
      <c r="B210">
        <v>5167</v>
      </c>
      <c r="C210">
        <v>253</v>
      </c>
      <c r="D210">
        <v>14</v>
      </c>
      <c r="E210" t="s">
        <v>10</v>
      </c>
      <c r="F210" t="s">
        <v>22</v>
      </c>
      <c r="G210" t="s">
        <v>38</v>
      </c>
      <c r="H210" s="1">
        <v>45284</v>
      </c>
      <c r="I210" t="s">
        <v>227</v>
      </c>
      <c r="J210" t="s">
        <v>34</v>
      </c>
      <c r="K210" t="s">
        <v>75</v>
      </c>
      <c r="L210" s="3">
        <f>IF(Sales_Table[[#This Row],[Revenue]]=0,0,Sales_Table[[#This Row],[Revenue]]/Sales_Table[[#This Row],[Profit]])</f>
        <v>20.42292490118577</v>
      </c>
    </row>
    <row r="211" spans="1:12" x14ac:dyDescent="0.5">
      <c r="A211" t="s">
        <v>224</v>
      </c>
      <c r="B211">
        <v>2799</v>
      </c>
      <c r="C211">
        <v>1239</v>
      </c>
      <c r="D211">
        <v>5</v>
      </c>
      <c r="E211" t="s">
        <v>36</v>
      </c>
      <c r="F211" t="s">
        <v>48</v>
      </c>
      <c r="G211" t="s">
        <v>26</v>
      </c>
      <c r="H211" s="1">
        <v>44064</v>
      </c>
      <c r="I211" t="s">
        <v>225</v>
      </c>
      <c r="J211" t="s">
        <v>59</v>
      </c>
      <c r="K211" t="s">
        <v>108</v>
      </c>
      <c r="L211" s="3">
        <f>IF(Sales_Table[[#This Row],[Revenue]]=0,0,Sales_Table[[#This Row],[Revenue]]/Sales_Table[[#This Row],[Profit]])</f>
        <v>2.2590799031476996</v>
      </c>
    </row>
    <row r="212" spans="1:12" x14ac:dyDescent="0.5">
      <c r="A212" t="s">
        <v>224</v>
      </c>
      <c r="B212">
        <v>2799</v>
      </c>
      <c r="C212">
        <v>1239</v>
      </c>
      <c r="D212">
        <v>5</v>
      </c>
      <c r="E212" t="s">
        <v>36</v>
      </c>
      <c r="F212" t="s">
        <v>48</v>
      </c>
      <c r="G212" t="s">
        <v>26</v>
      </c>
      <c r="H212" s="1">
        <v>45033</v>
      </c>
      <c r="I212" t="s">
        <v>226</v>
      </c>
      <c r="J212" t="s">
        <v>17</v>
      </c>
      <c r="K212" t="s">
        <v>18</v>
      </c>
      <c r="L212" s="3">
        <f>IF(Sales_Table[[#This Row],[Revenue]]=0,0,Sales_Table[[#This Row],[Revenue]]/Sales_Table[[#This Row],[Profit]])</f>
        <v>2.2590799031476996</v>
      </c>
    </row>
    <row r="213" spans="1:12" x14ac:dyDescent="0.5">
      <c r="A213" t="s">
        <v>224</v>
      </c>
      <c r="B213">
        <v>2799</v>
      </c>
      <c r="C213">
        <v>1239</v>
      </c>
      <c r="D213">
        <v>5</v>
      </c>
      <c r="E213" t="s">
        <v>36</v>
      </c>
      <c r="F213" t="s">
        <v>48</v>
      </c>
      <c r="G213" t="s">
        <v>26</v>
      </c>
      <c r="H213" s="1">
        <v>45284</v>
      </c>
      <c r="I213" t="s">
        <v>227</v>
      </c>
      <c r="J213" t="s">
        <v>34</v>
      </c>
      <c r="K213" t="s">
        <v>75</v>
      </c>
      <c r="L213" s="3">
        <f>IF(Sales_Table[[#This Row],[Revenue]]=0,0,Sales_Table[[#This Row],[Revenue]]/Sales_Table[[#This Row],[Profit]])</f>
        <v>2.2590799031476996</v>
      </c>
    </row>
    <row r="214" spans="1:12" x14ac:dyDescent="0.5">
      <c r="A214" t="s">
        <v>228</v>
      </c>
      <c r="B214">
        <v>3234</v>
      </c>
      <c r="C214">
        <v>1029</v>
      </c>
      <c r="D214">
        <v>20</v>
      </c>
      <c r="E214" t="s">
        <v>24</v>
      </c>
      <c r="F214" t="s">
        <v>46</v>
      </c>
      <c r="G214" t="s">
        <v>38</v>
      </c>
      <c r="H214" s="1">
        <v>44640</v>
      </c>
      <c r="I214" t="s">
        <v>229</v>
      </c>
      <c r="J214" t="s">
        <v>14</v>
      </c>
      <c r="K214" t="s">
        <v>15</v>
      </c>
      <c r="L214" s="3">
        <f>IF(Sales_Table[[#This Row],[Revenue]]=0,0,Sales_Table[[#This Row],[Revenue]]/Sales_Table[[#This Row],[Profit]])</f>
        <v>3.1428571428571428</v>
      </c>
    </row>
    <row r="215" spans="1:12" x14ac:dyDescent="0.5">
      <c r="A215" t="s">
        <v>230</v>
      </c>
      <c r="B215">
        <v>4920</v>
      </c>
      <c r="C215">
        <v>775</v>
      </c>
      <c r="D215">
        <v>12</v>
      </c>
      <c r="E215" t="s">
        <v>36</v>
      </c>
      <c r="F215" t="s">
        <v>37</v>
      </c>
      <c r="G215" t="s">
        <v>26</v>
      </c>
      <c r="H215" s="1">
        <v>44420</v>
      </c>
      <c r="I215" t="s">
        <v>231</v>
      </c>
      <c r="J215" t="s">
        <v>17</v>
      </c>
      <c r="K215" t="s">
        <v>51</v>
      </c>
      <c r="L215" s="3">
        <f>IF(Sales_Table[[#This Row],[Revenue]]=0,0,Sales_Table[[#This Row],[Revenue]]/Sales_Table[[#This Row],[Profit]])</f>
        <v>6.3483870967741938</v>
      </c>
    </row>
    <row r="216" spans="1:12" x14ac:dyDescent="0.5">
      <c r="A216" t="s">
        <v>230</v>
      </c>
      <c r="B216">
        <v>9078</v>
      </c>
      <c r="C216">
        <v>2213</v>
      </c>
      <c r="D216">
        <v>15</v>
      </c>
      <c r="E216" t="s">
        <v>36</v>
      </c>
      <c r="F216" t="s">
        <v>87</v>
      </c>
      <c r="G216" t="s">
        <v>32</v>
      </c>
      <c r="H216" s="1">
        <v>44420</v>
      </c>
      <c r="I216" t="s">
        <v>231</v>
      </c>
      <c r="J216" t="s">
        <v>17</v>
      </c>
      <c r="K216" t="s">
        <v>51</v>
      </c>
      <c r="L216" s="3">
        <f>IF(Sales_Table[[#This Row],[Revenue]]=0,0,Sales_Table[[#This Row],[Revenue]]/Sales_Table[[#This Row],[Profit]])</f>
        <v>4.1021238138273839</v>
      </c>
    </row>
    <row r="217" spans="1:12" x14ac:dyDescent="0.5">
      <c r="A217" t="s">
        <v>232</v>
      </c>
      <c r="B217">
        <v>8586</v>
      </c>
      <c r="C217">
        <v>3826</v>
      </c>
      <c r="D217">
        <v>7</v>
      </c>
      <c r="E217" t="s">
        <v>36</v>
      </c>
      <c r="F217" t="s">
        <v>87</v>
      </c>
      <c r="G217" t="s">
        <v>12</v>
      </c>
      <c r="H217" s="1">
        <v>44186</v>
      </c>
      <c r="I217" t="s">
        <v>233</v>
      </c>
      <c r="J217" t="s">
        <v>14</v>
      </c>
      <c r="K217" t="s">
        <v>15</v>
      </c>
      <c r="L217" s="3">
        <f>IF(Sales_Table[[#This Row],[Revenue]]=0,0,Sales_Table[[#This Row],[Revenue]]/Sales_Table[[#This Row],[Profit]])</f>
        <v>2.2441191845269213</v>
      </c>
    </row>
    <row r="218" spans="1:12" x14ac:dyDescent="0.5">
      <c r="A218" t="s">
        <v>232</v>
      </c>
      <c r="B218">
        <v>8586</v>
      </c>
      <c r="C218">
        <v>3826</v>
      </c>
      <c r="D218">
        <v>7</v>
      </c>
      <c r="E218" t="s">
        <v>36</v>
      </c>
      <c r="F218" t="s">
        <v>87</v>
      </c>
      <c r="G218" t="s">
        <v>12</v>
      </c>
      <c r="H218" s="1">
        <v>45114</v>
      </c>
      <c r="I218" t="s">
        <v>234</v>
      </c>
      <c r="J218" t="s">
        <v>14</v>
      </c>
      <c r="K218" t="s">
        <v>118</v>
      </c>
      <c r="L218" s="3">
        <f>IF(Sales_Table[[#This Row],[Revenue]]=0,0,Sales_Table[[#This Row],[Revenue]]/Sales_Table[[#This Row],[Profit]])</f>
        <v>2.2441191845269213</v>
      </c>
    </row>
    <row r="219" spans="1:12" x14ac:dyDescent="0.5">
      <c r="A219" t="s">
        <v>235</v>
      </c>
      <c r="B219">
        <v>5047</v>
      </c>
      <c r="C219">
        <v>2211</v>
      </c>
      <c r="D219">
        <v>13</v>
      </c>
      <c r="E219" t="s">
        <v>36</v>
      </c>
      <c r="F219" t="s">
        <v>48</v>
      </c>
      <c r="G219" t="s">
        <v>32</v>
      </c>
      <c r="H219" s="1">
        <v>45151</v>
      </c>
      <c r="I219" t="s">
        <v>236</v>
      </c>
      <c r="J219" t="s">
        <v>34</v>
      </c>
      <c r="K219" t="s">
        <v>75</v>
      </c>
      <c r="L219" s="3">
        <f>IF(Sales_Table[[#This Row],[Revenue]]=0,0,Sales_Table[[#This Row],[Revenue]]/Sales_Table[[#This Row],[Profit]])</f>
        <v>2.2826775214834916</v>
      </c>
    </row>
    <row r="220" spans="1:12" x14ac:dyDescent="0.5">
      <c r="A220" t="s">
        <v>235</v>
      </c>
      <c r="B220">
        <v>5047</v>
      </c>
      <c r="C220">
        <v>2211</v>
      </c>
      <c r="D220">
        <v>13</v>
      </c>
      <c r="E220" t="s">
        <v>36</v>
      </c>
      <c r="F220" t="s">
        <v>48</v>
      </c>
      <c r="G220" t="s">
        <v>32</v>
      </c>
      <c r="H220" s="1">
        <v>44231</v>
      </c>
      <c r="I220" t="s">
        <v>237</v>
      </c>
      <c r="J220" t="s">
        <v>17</v>
      </c>
      <c r="K220" t="s">
        <v>18</v>
      </c>
      <c r="L220" s="3">
        <f>IF(Sales_Table[[#This Row],[Revenue]]=0,0,Sales_Table[[#This Row],[Revenue]]/Sales_Table[[#This Row],[Profit]])</f>
        <v>2.2826775214834916</v>
      </c>
    </row>
    <row r="221" spans="1:12" x14ac:dyDescent="0.5">
      <c r="A221" t="s">
        <v>235</v>
      </c>
      <c r="B221">
        <v>5047</v>
      </c>
      <c r="C221">
        <v>2211</v>
      </c>
      <c r="D221">
        <v>13</v>
      </c>
      <c r="E221" t="s">
        <v>36</v>
      </c>
      <c r="F221" t="s">
        <v>48</v>
      </c>
      <c r="G221" t="s">
        <v>32</v>
      </c>
      <c r="H221" s="1">
        <v>44820</v>
      </c>
      <c r="I221" t="s">
        <v>238</v>
      </c>
      <c r="J221" t="s">
        <v>17</v>
      </c>
      <c r="K221" t="s">
        <v>134</v>
      </c>
      <c r="L221" s="3">
        <f>IF(Sales_Table[[#This Row],[Revenue]]=0,0,Sales_Table[[#This Row],[Revenue]]/Sales_Table[[#This Row],[Profit]])</f>
        <v>2.2826775214834916</v>
      </c>
    </row>
    <row r="222" spans="1:12" x14ac:dyDescent="0.5">
      <c r="A222" t="s">
        <v>235</v>
      </c>
      <c r="B222">
        <v>5047</v>
      </c>
      <c r="C222">
        <v>2211</v>
      </c>
      <c r="D222">
        <v>13</v>
      </c>
      <c r="E222" t="s">
        <v>36</v>
      </c>
      <c r="F222" t="s">
        <v>48</v>
      </c>
      <c r="G222" t="s">
        <v>32</v>
      </c>
      <c r="H222" s="1">
        <v>44687</v>
      </c>
      <c r="I222" t="s">
        <v>239</v>
      </c>
      <c r="J222" t="s">
        <v>20</v>
      </c>
      <c r="K222" t="s">
        <v>21</v>
      </c>
      <c r="L222" s="3">
        <f>IF(Sales_Table[[#This Row],[Revenue]]=0,0,Sales_Table[[#This Row],[Revenue]]/Sales_Table[[#This Row],[Profit]])</f>
        <v>2.2826775214834916</v>
      </c>
    </row>
    <row r="223" spans="1:12" x14ac:dyDescent="0.5">
      <c r="A223" t="s">
        <v>240</v>
      </c>
      <c r="B223">
        <v>3657</v>
      </c>
      <c r="C223">
        <v>163</v>
      </c>
      <c r="D223">
        <v>1</v>
      </c>
      <c r="E223" t="s">
        <v>36</v>
      </c>
      <c r="F223" t="s">
        <v>48</v>
      </c>
      <c r="G223" t="s">
        <v>12</v>
      </c>
      <c r="H223" s="1">
        <v>44344</v>
      </c>
      <c r="I223" t="s">
        <v>241</v>
      </c>
      <c r="J223" t="s">
        <v>34</v>
      </c>
      <c r="K223" t="s">
        <v>75</v>
      </c>
      <c r="L223" s="3">
        <f>IF(Sales_Table[[#This Row],[Revenue]]=0,0,Sales_Table[[#This Row],[Revenue]]/Sales_Table[[#This Row],[Profit]])</f>
        <v>22.435582822085891</v>
      </c>
    </row>
    <row r="224" spans="1:12" x14ac:dyDescent="0.5">
      <c r="A224" t="s">
        <v>242</v>
      </c>
      <c r="B224">
        <v>6471</v>
      </c>
      <c r="C224">
        <v>2842</v>
      </c>
      <c r="D224">
        <v>18</v>
      </c>
      <c r="E224" t="s">
        <v>10</v>
      </c>
      <c r="F224" t="s">
        <v>11</v>
      </c>
      <c r="G224" t="s">
        <v>12</v>
      </c>
      <c r="H224" s="1">
        <v>45491</v>
      </c>
      <c r="I224" t="s">
        <v>243</v>
      </c>
      <c r="J224" t="s">
        <v>17</v>
      </c>
      <c r="K224" t="s">
        <v>134</v>
      </c>
      <c r="L224" s="3">
        <f>IF(Sales_Table[[#This Row],[Revenue]]=0,0,Sales_Table[[#This Row],[Revenue]]/Sales_Table[[#This Row],[Profit]])</f>
        <v>2.2769176636171711</v>
      </c>
    </row>
    <row r="225" spans="1:12" x14ac:dyDescent="0.5">
      <c r="A225" t="s">
        <v>244</v>
      </c>
      <c r="B225">
        <v>949</v>
      </c>
      <c r="C225">
        <v>301</v>
      </c>
      <c r="D225">
        <v>9</v>
      </c>
      <c r="E225" t="s">
        <v>24</v>
      </c>
      <c r="F225" t="s">
        <v>64</v>
      </c>
      <c r="G225" t="s">
        <v>12</v>
      </c>
      <c r="H225" s="1">
        <v>45632</v>
      </c>
      <c r="I225" t="s">
        <v>245</v>
      </c>
      <c r="J225" t="s">
        <v>79</v>
      </c>
      <c r="K225" t="s">
        <v>94</v>
      </c>
      <c r="L225" s="3">
        <f>IF(Sales_Table[[#This Row],[Revenue]]=0,0,Sales_Table[[#This Row],[Revenue]]/Sales_Table[[#This Row],[Profit]])</f>
        <v>3.1528239202657806</v>
      </c>
    </row>
    <row r="226" spans="1:12" x14ac:dyDescent="0.5">
      <c r="A226" t="s">
        <v>244</v>
      </c>
      <c r="B226">
        <v>6823</v>
      </c>
      <c r="C226">
        <v>771</v>
      </c>
      <c r="D226">
        <v>6</v>
      </c>
      <c r="E226" t="s">
        <v>24</v>
      </c>
      <c r="F226" t="s">
        <v>64</v>
      </c>
      <c r="G226" t="s">
        <v>32</v>
      </c>
      <c r="H226" s="1">
        <v>45632</v>
      </c>
      <c r="I226" t="s">
        <v>245</v>
      </c>
      <c r="J226" t="s">
        <v>79</v>
      </c>
      <c r="K226" t="s">
        <v>94</v>
      </c>
      <c r="L226" s="3">
        <f>IF(Sales_Table[[#This Row],[Revenue]]=0,0,Sales_Table[[#This Row],[Revenue]]/Sales_Table[[#This Row],[Profit]])</f>
        <v>8.8495460440985738</v>
      </c>
    </row>
    <row r="227" spans="1:12" x14ac:dyDescent="0.5">
      <c r="A227" t="s">
        <v>244</v>
      </c>
      <c r="B227">
        <v>4364</v>
      </c>
      <c r="C227">
        <v>831</v>
      </c>
      <c r="D227">
        <v>2</v>
      </c>
      <c r="E227" t="s">
        <v>36</v>
      </c>
      <c r="F227" t="s">
        <v>37</v>
      </c>
      <c r="G227" t="s">
        <v>32</v>
      </c>
      <c r="H227" s="1">
        <v>45632</v>
      </c>
      <c r="I227" t="s">
        <v>245</v>
      </c>
      <c r="J227" t="s">
        <v>79</v>
      </c>
      <c r="K227" t="s">
        <v>94</v>
      </c>
      <c r="L227" s="3">
        <f>IF(Sales_Table[[#This Row],[Revenue]]=0,0,Sales_Table[[#This Row],[Revenue]]/Sales_Table[[#This Row],[Profit]])</f>
        <v>5.2515042117930202</v>
      </c>
    </row>
    <row r="228" spans="1:12" x14ac:dyDescent="0.5">
      <c r="A228" t="s">
        <v>246</v>
      </c>
      <c r="B228">
        <v>6671</v>
      </c>
      <c r="C228">
        <v>2797</v>
      </c>
      <c r="D228">
        <v>10</v>
      </c>
      <c r="E228" t="s">
        <v>10</v>
      </c>
      <c r="F228" t="s">
        <v>67</v>
      </c>
      <c r="G228" t="s">
        <v>12</v>
      </c>
      <c r="H228" s="1">
        <v>44907</v>
      </c>
      <c r="I228" t="s">
        <v>247</v>
      </c>
      <c r="J228" t="s">
        <v>17</v>
      </c>
      <c r="K228" t="s">
        <v>134</v>
      </c>
      <c r="L228" s="3">
        <f>IF(Sales_Table[[#This Row],[Revenue]]=0,0,Sales_Table[[#This Row],[Revenue]]/Sales_Table[[#This Row],[Profit]])</f>
        <v>2.3850554165176976</v>
      </c>
    </row>
    <row r="229" spans="1:12" x14ac:dyDescent="0.5">
      <c r="A229" t="s">
        <v>248</v>
      </c>
      <c r="B229">
        <v>7472</v>
      </c>
      <c r="C229">
        <v>1037</v>
      </c>
      <c r="D229">
        <v>3</v>
      </c>
      <c r="E229" t="s">
        <v>24</v>
      </c>
      <c r="F229" t="s">
        <v>52</v>
      </c>
      <c r="G229" t="s">
        <v>53</v>
      </c>
      <c r="H229" s="1">
        <v>44854</v>
      </c>
      <c r="I229" t="s">
        <v>249</v>
      </c>
      <c r="J229" t="s">
        <v>17</v>
      </c>
      <c r="K229" t="s">
        <v>51</v>
      </c>
      <c r="L229" s="3">
        <f>IF(Sales_Table[[#This Row],[Revenue]]=0,0,Sales_Table[[#This Row],[Revenue]]/Sales_Table[[#This Row],[Profit]])</f>
        <v>7.2054001928640306</v>
      </c>
    </row>
    <row r="230" spans="1:12" x14ac:dyDescent="0.5">
      <c r="A230" t="s">
        <v>248</v>
      </c>
      <c r="B230">
        <v>9548</v>
      </c>
      <c r="C230">
        <v>1806</v>
      </c>
      <c r="D230">
        <v>9</v>
      </c>
      <c r="E230" t="s">
        <v>10</v>
      </c>
      <c r="F230" t="s">
        <v>22</v>
      </c>
      <c r="G230" t="s">
        <v>53</v>
      </c>
      <c r="H230" s="1">
        <v>44854</v>
      </c>
      <c r="I230" t="s">
        <v>249</v>
      </c>
      <c r="J230" t="s">
        <v>17</v>
      </c>
      <c r="K230" t="s">
        <v>51</v>
      </c>
      <c r="L230" s="3">
        <f>IF(Sales_Table[[#This Row],[Revenue]]=0,0,Sales_Table[[#This Row],[Revenue]]/Sales_Table[[#This Row],[Profit]])</f>
        <v>5.2868217054263562</v>
      </c>
    </row>
    <row r="231" spans="1:12" x14ac:dyDescent="0.5">
      <c r="A231" t="s">
        <v>250</v>
      </c>
      <c r="B231">
        <v>7759</v>
      </c>
      <c r="C231">
        <v>3741</v>
      </c>
      <c r="D231">
        <v>17</v>
      </c>
      <c r="E231" t="s">
        <v>10</v>
      </c>
      <c r="F231" t="s">
        <v>22</v>
      </c>
      <c r="G231" t="s">
        <v>12</v>
      </c>
      <c r="H231" s="1">
        <v>44279</v>
      </c>
      <c r="I231" t="s">
        <v>251</v>
      </c>
      <c r="J231" t="s">
        <v>14</v>
      </c>
      <c r="K231" t="s">
        <v>15</v>
      </c>
      <c r="L231" s="3">
        <f>IF(Sales_Table[[#This Row],[Revenue]]=0,0,Sales_Table[[#This Row],[Revenue]]/Sales_Table[[#This Row],[Profit]])</f>
        <v>2.074044373162256</v>
      </c>
    </row>
    <row r="232" spans="1:12" x14ac:dyDescent="0.5">
      <c r="A232" t="s">
        <v>250</v>
      </c>
      <c r="B232">
        <v>7759</v>
      </c>
      <c r="C232">
        <v>3741</v>
      </c>
      <c r="D232">
        <v>17</v>
      </c>
      <c r="E232" t="s">
        <v>10</v>
      </c>
      <c r="F232" t="s">
        <v>22</v>
      </c>
      <c r="G232" t="s">
        <v>12</v>
      </c>
      <c r="H232" s="1">
        <v>45663</v>
      </c>
      <c r="I232" t="s">
        <v>252</v>
      </c>
      <c r="J232" t="s">
        <v>59</v>
      </c>
      <c r="K232" t="s">
        <v>60</v>
      </c>
      <c r="L232" s="3">
        <f>IF(Sales_Table[[#This Row],[Revenue]]=0,0,Sales_Table[[#This Row],[Revenue]]/Sales_Table[[#This Row],[Profit]])</f>
        <v>2.074044373162256</v>
      </c>
    </row>
    <row r="233" spans="1:12" x14ac:dyDescent="0.5">
      <c r="A233" t="s">
        <v>250</v>
      </c>
      <c r="B233">
        <v>7521</v>
      </c>
      <c r="C233">
        <v>3457</v>
      </c>
      <c r="D233">
        <v>16</v>
      </c>
      <c r="E233" t="s">
        <v>24</v>
      </c>
      <c r="F233" t="s">
        <v>46</v>
      </c>
      <c r="G233" t="s">
        <v>26</v>
      </c>
      <c r="H233" s="1">
        <v>44279</v>
      </c>
      <c r="I233" t="s">
        <v>251</v>
      </c>
      <c r="J233" t="s">
        <v>14</v>
      </c>
      <c r="K233" t="s">
        <v>15</v>
      </c>
      <c r="L233" s="3">
        <f>IF(Sales_Table[[#This Row],[Revenue]]=0,0,Sales_Table[[#This Row],[Revenue]]/Sales_Table[[#This Row],[Profit]])</f>
        <v>2.1755857680069424</v>
      </c>
    </row>
    <row r="234" spans="1:12" x14ac:dyDescent="0.5">
      <c r="A234" t="s">
        <v>250</v>
      </c>
      <c r="B234">
        <v>7521</v>
      </c>
      <c r="C234">
        <v>3457</v>
      </c>
      <c r="D234">
        <v>16</v>
      </c>
      <c r="E234" t="s">
        <v>24</v>
      </c>
      <c r="F234" t="s">
        <v>46</v>
      </c>
      <c r="G234" t="s">
        <v>26</v>
      </c>
      <c r="H234" s="1">
        <v>45663</v>
      </c>
      <c r="I234" t="s">
        <v>252</v>
      </c>
      <c r="J234" t="s">
        <v>59</v>
      </c>
      <c r="K234" t="s">
        <v>60</v>
      </c>
      <c r="L234" s="3">
        <f>IF(Sales_Table[[#This Row],[Revenue]]=0,0,Sales_Table[[#This Row],[Revenue]]/Sales_Table[[#This Row],[Profit]])</f>
        <v>2.1755857680069424</v>
      </c>
    </row>
    <row r="235" spans="1:12" x14ac:dyDescent="0.5">
      <c r="A235" t="s">
        <v>253</v>
      </c>
      <c r="B235">
        <v>9704</v>
      </c>
      <c r="C235">
        <v>4339</v>
      </c>
      <c r="D235">
        <v>12</v>
      </c>
      <c r="E235" t="s">
        <v>24</v>
      </c>
      <c r="F235" t="s">
        <v>25</v>
      </c>
      <c r="G235" t="s">
        <v>53</v>
      </c>
      <c r="H235" s="1">
        <v>44261</v>
      </c>
      <c r="I235" t="s">
        <v>254</v>
      </c>
      <c r="J235" t="s">
        <v>59</v>
      </c>
      <c r="K235" t="s">
        <v>108</v>
      </c>
      <c r="L235" s="3">
        <f>IF(Sales_Table[[#This Row],[Revenue]]=0,0,Sales_Table[[#This Row],[Revenue]]/Sales_Table[[#This Row],[Profit]])</f>
        <v>2.2364600138280708</v>
      </c>
    </row>
    <row r="236" spans="1:12" x14ac:dyDescent="0.5">
      <c r="A236" t="s">
        <v>253</v>
      </c>
      <c r="B236">
        <v>4948</v>
      </c>
      <c r="C236">
        <v>2356</v>
      </c>
      <c r="D236">
        <v>18</v>
      </c>
      <c r="E236" t="s">
        <v>10</v>
      </c>
      <c r="F236" t="s">
        <v>22</v>
      </c>
      <c r="G236" t="s">
        <v>26</v>
      </c>
      <c r="H236" s="1">
        <v>44261</v>
      </c>
      <c r="I236" t="s">
        <v>254</v>
      </c>
      <c r="J236" t="s">
        <v>59</v>
      </c>
      <c r="K236" t="s">
        <v>108</v>
      </c>
      <c r="L236" s="3">
        <f>IF(Sales_Table[[#This Row],[Revenue]]=0,0,Sales_Table[[#This Row],[Revenue]]/Sales_Table[[#This Row],[Profit]])</f>
        <v>2.1001697792869272</v>
      </c>
    </row>
    <row r="237" spans="1:12" x14ac:dyDescent="0.5">
      <c r="A237" t="s">
        <v>253</v>
      </c>
      <c r="B237">
        <v>6435</v>
      </c>
      <c r="C237">
        <v>334</v>
      </c>
      <c r="D237">
        <v>10</v>
      </c>
      <c r="E237" t="s">
        <v>10</v>
      </c>
      <c r="F237" t="s">
        <v>11</v>
      </c>
      <c r="G237" t="s">
        <v>26</v>
      </c>
      <c r="H237" s="1">
        <v>44261</v>
      </c>
      <c r="I237" t="s">
        <v>254</v>
      </c>
      <c r="J237" t="s">
        <v>59</v>
      </c>
      <c r="K237" t="s">
        <v>108</v>
      </c>
      <c r="L237" s="3">
        <f>IF(Sales_Table[[#This Row],[Revenue]]=0,0,Sales_Table[[#This Row],[Revenue]]/Sales_Table[[#This Row],[Profit]])</f>
        <v>19.266467065868262</v>
      </c>
    </row>
    <row r="238" spans="1:12" x14ac:dyDescent="0.5">
      <c r="A238" t="s">
        <v>255</v>
      </c>
      <c r="B238">
        <v>9965</v>
      </c>
      <c r="C238">
        <v>3033</v>
      </c>
      <c r="D238">
        <v>16</v>
      </c>
      <c r="E238" t="s">
        <v>24</v>
      </c>
      <c r="F238" t="s">
        <v>46</v>
      </c>
      <c r="G238" t="s">
        <v>53</v>
      </c>
      <c r="H238" s="1">
        <v>43999</v>
      </c>
      <c r="I238" t="s">
        <v>256</v>
      </c>
      <c r="J238" t="s">
        <v>34</v>
      </c>
      <c r="K238" t="s">
        <v>75</v>
      </c>
      <c r="L238" s="3">
        <f>IF(Sales_Table[[#This Row],[Revenue]]=0,0,Sales_Table[[#This Row],[Revenue]]/Sales_Table[[#This Row],[Profit]])</f>
        <v>3.285525881965051</v>
      </c>
    </row>
    <row r="239" spans="1:12" x14ac:dyDescent="0.5">
      <c r="A239" t="s">
        <v>255</v>
      </c>
      <c r="B239">
        <v>9965</v>
      </c>
      <c r="C239">
        <v>3033</v>
      </c>
      <c r="D239">
        <v>16</v>
      </c>
      <c r="E239" t="s">
        <v>24</v>
      </c>
      <c r="F239" t="s">
        <v>46</v>
      </c>
      <c r="G239" t="s">
        <v>53</v>
      </c>
      <c r="H239" s="1">
        <v>45170</v>
      </c>
      <c r="I239" t="s">
        <v>257</v>
      </c>
      <c r="J239" t="s">
        <v>20</v>
      </c>
      <c r="K239" t="s">
        <v>21</v>
      </c>
      <c r="L239" s="3">
        <f>IF(Sales_Table[[#This Row],[Revenue]]=0,0,Sales_Table[[#This Row],[Revenue]]/Sales_Table[[#This Row],[Profit]])</f>
        <v>3.285525881965051</v>
      </c>
    </row>
    <row r="240" spans="1:12" x14ac:dyDescent="0.5">
      <c r="A240" t="s">
        <v>258</v>
      </c>
      <c r="B240">
        <v>1523</v>
      </c>
      <c r="C240">
        <v>234</v>
      </c>
      <c r="D240">
        <v>3</v>
      </c>
      <c r="E240" t="s">
        <v>36</v>
      </c>
      <c r="F240" t="s">
        <v>48</v>
      </c>
      <c r="G240" t="s">
        <v>12</v>
      </c>
      <c r="H240" s="1">
        <v>45085</v>
      </c>
      <c r="I240" t="s">
        <v>259</v>
      </c>
      <c r="J240" t="s">
        <v>20</v>
      </c>
      <c r="K240" t="s">
        <v>56</v>
      </c>
      <c r="L240" s="3">
        <f>IF(Sales_Table[[#This Row],[Revenue]]=0,0,Sales_Table[[#This Row],[Revenue]]/Sales_Table[[#This Row],[Profit]])</f>
        <v>6.5085470085470085</v>
      </c>
    </row>
    <row r="241" spans="1:12" x14ac:dyDescent="0.5">
      <c r="A241" t="s">
        <v>258</v>
      </c>
      <c r="B241">
        <v>9073</v>
      </c>
      <c r="C241">
        <v>424</v>
      </c>
      <c r="D241">
        <v>7</v>
      </c>
      <c r="E241" t="s">
        <v>10</v>
      </c>
      <c r="F241" t="s">
        <v>11</v>
      </c>
      <c r="G241" t="s">
        <v>26</v>
      </c>
      <c r="H241" s="1">
        <v>45085</v>
      </c>
      <c r="I241" t="s">
        <v>259</v>
      </c>
      <c r="J241" t="s">
        <v>20</v>
      </c>
      <c r="K241" t="s">
        <v>56</v>
      </c>
      <c r="L241" s="3">
        <f>IF(Sales_Table[[#This Row],[Revenue]]=0,0,Sales_Table[[#This Row],[Revenue]]/Sales_Table[[#This Row],[Profit]])</f>
        <v>21.398584905660378</v>
      </c>
    </row>
    <row r="242" spans="1:12" x14ac:dyDescent="0.5">
      <c r="A242" t="s">
        <v>260</v>
      </c>
      <c r="B242">
        <v>6447</v>
      </c>
      <c r="C242">
        <v>3079</v>
      </c>
      <c r="D242">
        <v>20</v>
      </c>
      <c r="E242" t="s">
        <v>10</v>
      </c>
      <c r="F242" t="s">
        <v>31</v>
      </c>
      <c r="G242" t="s">
        <v>53</v>
      </c>
      <c r="H242" s="1">
        <v>44280</v>
      </c>
      <c r="I242" t="s">
        <v>261</v>
      </c>
      <c r="J242" t="s">
        <v>20</v>
      </c>
      <c r="K242" t="s">
        <v>56</v>
      </c>
      <c r="L242" s="3">
        <f>IF(Sales_Table[[#This Row],[Revenue]]=0,0,Sales_Table[[#This Row],[Revenue]]/Sales_Table[[#This Row],[Profit]])</f>
        <v>2.0938616433907113</v>
      </c>
    </row>
    <row r="243" spans="1:12" x14ac:dyDescent="0.5">
      <c r="A243" t="s">
        <v>260</v>
      </c>
      <c r="B243">
        <v>8947</v>
      </c>
      <c r="C243">
        <v>2807</v>
      </c>
      <c r="D243">
        <v>6</v>
      </c>
      <c r="E243" t="s">
        <v>10</v>
      </c>
      <c r="F243" t="s">
        <v>11</v>
      </c>
      <c r="G243" t="s">
        <v>38</v>
      </c>
      <c r="H243" s="1">
        <v>44280</v>
      </c>
      <c r="I243" t="s">
        <v>261</v>
      </c>
      <c r="J243" t="s">
        <v>20</v>
      </c>
      <c r="K243" t="s">
        <v>56</v>
      </c>
      <c r="L243" s="3">
        <f>IF(Sales_Table[[#This Row],[Revenue]]=0,0,Sales_Table[[#This Row],[Revenue]]/Sales_Table[[#This Row],[Profit]])</f>
        <v>3.1873886711791948</v>
      </c>
    </row>
    <row r="244" spans="1:12" x14ac:dyDescent="0.5">
      <c r="A244" t="s">
        <v>262</v>
      </c>
      <c r="B244">
        <v>914</v>
      </c>
      <c r="C244">
        <v>400</v>
      </c>
      <c r="D244">
        <v>8</v>
      </c>
      <c r="E244" t="s">
        <v>24</v>
      </c>
      <c r="F244" t="s">
        <v>25</v>
      </c>
      <c r="G244" t="s">
        <v>26</v>
      </c>
      <c r="H244" s="1">
        <v>44199</v>
      </c>
      <c r="I244" t="s">
        <v>263</v>
      </c>
      <c r="J244" t="s">
        <v>34</v>
      </c>
      <c r="K244" t="s">
        <v>35</v>
      </c>
      <c r="L244" s="3">
        <f>IF(Sales_Table[[#This Row],[Revenue]]=0,0,Sales_Table[[#This Row],[Revenue]]/Sales_Table[[#This Row],[Profit]])</f>
        <v>2.2850000000000001</v>
      </c>
    </row>
    <row r="245" spans="1:12" x14ac:dyDescent="0.5">
      <c r="A245" t="s">
        <v>262</v>
      </c>
      <c r="B245">
        <v>1548</v>
      </c>
      <c r="C245">
        <v>666</v>
      </c>
      <c r="D245">
        <v>3</v>
      </c>
      <c r="E245" t="s">
        <v>24</v>
      </c>
      <c r="F245" t="s">
        <v>52</v>
      </c>
      <c r="G245" t="s">
        <v>38</v>
      </c>
      <c r="H245" s="1">
        <v>44199</v>
      </c>
      <c r="I245" t="s">
        <v>263</v>
      </c>
      <c r="J245" t="s">
        <v>34</v>
      </c>
      <c r="K245" t="s">
        <v>35</v>
      </c>
      <c r="L245" s="3">
        <f>IF(Sales_Table[[#This Row],[Revenue]]=0,0,Sales_Table[[#This Row],[Revenue]]/Sales_Table[[#This Row],[Profit]])</f>
        <v>2.3243243243243241</v>
      </c>
    </row>
    <row r="246" spans="1:12" x14ac:dyDescent="0.5">
      <c r="A246" t="s">
        <v>264</v>
      </c>
      <c r="B246">
        <v>2759</v>
      </c>
      <c r="C246">
        <v>1149</v>
      </c>
      <c r="D246">
        <v>6</v>
      </c>
      <c r="E246" t="s">
        <v>36</v>
      </c>
      <c r="F246" t="s">
        <v>37</v>
      </c>
      <c r="G246" t="s">
        <v>38</v>
      </c>
      <c r="H246" s="1">
        <v>45653</v>
      </c>
      <c r="I246" t="s">
        <v>265</v>
      </c>
      <c r="J246" t="s">
        <v>20</v>
      </c>
      <c r="K246" t="s">
        <v>42</v>
      </c>
      <c r="L246" s="3">
        <f>IF(Sales_Table[[#This Row],[Revenue]]=0,0,Sales_Table[[#This Row],[Revenue]]/Sales_Table[[#This Row],[Profit]])</f>
        <v>2.4012184508268057</v>
      </c>
    </row>
    <row r="247" spans="1:12" x14ac:dyDescent="0.5">
      <c r="A247" t="s">
        <v>266</v>
      </c>
      <c r="B247">
        <v>1341</v>
      </c>
      <c r="C247">
        <v>615</v>
      </c>
      <c r="D247">
        <v>4</v>
      </c>
      <c r="E247" t="s">
        <v>10</v>
      </c>
      <c r="F247" t="s">
        <v>31</v>
      </c>
      <c r="G247" t="s">
        <v>12</v>
      </c>
      <c r="H247" s="1">
        <v>44785</v>
      </c>
      <c r="I247" t="s">
        <v>267</v>
      </c>
      <c r="J247" t="s">
        <v>14</v>
      </c>
      <c r="K247" t="s">
        <v>28</v>
      </c>
      <c r="L247" s="3">
        <f>IF(Sales_Table[[#This Row],[Revenue]]=0,0,Sales_Table[[#This Row],[Revenue]]/Sales_Table[[#This Row],[Profit]])</f>
        <v>2.1804878048780489</v>
      </c>
    </row>
    <row r="248" spans="1:12" x14ac:dyDescent="0.5">
      <c r="A248" t="s">
        <v>268</v>
      </c>
      <c r="B248">
        <v>9851</v>
      </c>
      <c r="C248">
        <v>2669</v>
      </c>
      <c r="D248">
        <v>19</v>
      </c>
      <c r="E248" t="s">
        <v>10</v>
      </c>
      <c r="F248" t="s">
        <v>11</v>
      </c>
      <c r="G248" t="s">
        <v>26</v>
      </c>
      <c r="H248" s="1">
        <v>44648</v>
      </c>
      <c r="I248" t="s">
        <v>269</v>
      </c>
      <c r="J248" t="s">
        <v>79</v>
      </c>
      <c r="K248" t="s">
        <v>94</v>
      </c>
      <c r="L248" s="3">
        <f>IF(Sales_Table[[#This Row],[Revenue]]=0,0,Sales_Table[[#This Row],[Revenue]]/Sales_Table[[#This Row],[Profit]])</f>
        <v>3.6908954664668414</v>
      </c>
    </row>
    <row r="249" spans="1:12" x14ac:dyDescent="0.5">
      <c r="A249" t="s">
        <v>268</v>
      </c>
      <c r="B249">
        <v>9851</v>
      </c>
      <c r="C249">
        <v>2669</v>
      </c>
      <c r="D249">
        <v>19</v>
      </c>
      <c r="E249" t="s">
        <v>10</v>
      </c>
      <c r="F249" t="s">
        <v>11</v>
      </c>
      <c r="G249" t="s">
        <v>26</v>
      </c>
      <c r="H249" s="1">
        <v>45122</v>
      </c>
      <c r="I249" t="s">
        <v>270</v>
      </c>
      <c r="J249" t="s">
        <v>20</v>
      </c>
      <c r="K249" t="s">
        <v>21</v>
      </c>
      <c r="L249" s="3">
        <f>IF(Sales_Table[[#This Row],[Revenue]]=0,0,Sales_Table[[#This Row],[Revenue]]/Sales_Table[[#This Row],[Profit]])</f>
        <v>3.6908954664668414</v>
      </c>
    </row>
    <row r="250" spans="1:12" x14ac:dyDescent="0.5">
      <c r="A250" t="s">
        <v>268</v>
      </c>
      <c r="B250">
        <v>9851</v>
      </c>
      <c r="C250">
        <v>2669</v>
      </c>
      <c r="D250">
        <v>19</v>
      </c>
      <c r="E250" t="s">
        <v>10</v>
      </c>
      <c r="F250" t="s">
        <v>11</v>
      </c>
      <c r="G250" t="s">
        <v>26</v>
      </c>
      <c r="H250" s="1">
        <v>44826</v>
      </c>
      <c r="I250" t="s">
        <v>271</v>
      </c>
      <c r="J250" t="s">
        <v>14</v>
      </c>
      <c r="K250" t="s">
        <v>28</v>
      </c>
      <c r="L250" s="3">
        <f>IF(Sales_Table[[#This Row],[Revenue]]=0,0,Sales_Table[[#This Row],[Revenue]]/Sales_Table[[#This Row],[Profit]])</f>
        <v>3.6908954664668414</v>
      </c>
    </row>
    <row r="251" spans="1:12" x14ac:dyDescent="0.5">
      <c r="A251" t="s">
        <v>268</v>
      </c>
      <c r="B251">
        <v>9989</v>
      </c>
      <c r="C251">
        <v>3930</v>
      </c>
      <c r="D251">
        <v>14</v>
      </c>
      <c r="E251" t="s">
        <v>36</v>
      </c>
      <c r="F251" t="s">
        <v>37</v>
      </c>
      <c r="G251" t="s">
        <v>26</v>
      </c>
      <c r="H251" s="1">
        <v>44648</v>
      </c>
      <c r="I251" t="s">
        <v>269</v>
      </c>
      <c r="J251" t="s">
        <v>79</v>
      </c>
      <c r="K251" t="s">
        <v>94</v>
      </c>
      <c r="L251" s="3">
        <f>IF(Sales_Table[[#This Row],[Revenue]]=0,0,Sales_Table[[#This Row],[Revenue]]/Sales_Table[[#This Row],[Profit]])</f>
        <v>2.5417302798982186</v>
      </c>
    </row>
    <row r="252" spans="1:12" x14ac:dyDescent="0.5">
      <c r="A252" t="s">
        <v>268</v>
      </c>
      <c r="B252">
        <v>9989</v>
      </c>
      <c r="C252">
        <v>3930</v>
      </c>
      <c r="D252">
        <v>14</v>
      </c>
      <c r="E252" t="s">
        <v>36</v>
      </c>
      <c r="F252" t="s">
        <v>37</v>
      </c>
      <c r="G252" t="s">
        <v>26</v>
      </c>
      <c r="H252" s="1">
        <v>45122</v>
      </c>
      <c r="I252" t="s">
        <v>270</v>
      </c>
      <c r="J252" t="s">
        <v>20</v>
      </c>
      <c r="K252" t="s">
        <v>21</v>
      </c>
      <c r="L252" s="3">
        <f>IF(Sales_Table[[#This Row],[Revenue]]=0,0,Sales_Table[[#This Row],[Revenue]]/Sales_Table[[#This Row],[Profit]])</f>
        <v>2.5417302798982186</v>
      </c>
    </row>
    <row r="253" spans="1:12" x14ac:dyDescent="0.5">
      <c r="A253" t="s">
        <v>268</v>
      </c>
      <c r="B253">
        <v>9989</v>
      </c>
      <c r="C253">
        <v>3930</v>
      </c>
      <c r="D253">
        <v>14</v>
      </c>
      <c r="E253" t="s">
        <v>36</v>
      </c>
      <c r="F253" t="s">
        <v>37</v>
      </c>
      <c r="G253" t="s">
        <v>26</v>
      </c>
      <c r="H253" s="1">
        <v>44826</v>
      </c>
      <c r="I253" t="s">
        <v>271</v>
      </c>
      <c r="J253" t="s">
        <v>14</v>
      </c>
      <c r="K253" t="s">
        <v>28</v>
      </c>
      <c r="L253" s="3">
        <f>IF(Sales_Table[[#This Row],[Revenue]]=0,0,Sales_Table[[#This Row],[Revenue]]/Sales_Table[[#This Row],[Profit]])</f>
        <v>2.5417302798982186</v>
      </c>
    </row>
    <row r="254" spans="1:12" x14ac:dyDescent="0.5">
      <c r="A254" t="s">
        <v>272</v>
      </c>
      <c r="B254">
        <v>7421</v>
      </c>
      <c r="C254">
        <v>958</v>
      </c>
      <c r="D254">
        <v>10</v>
      </c>
      <c r="E254" t="s">
        <v>36</v>
      </c>
      <c r="F254" t="s">
        <v>37</v>
      </c>
      <c r="G254" t="s">
        <v>53</v>
      </c>
      <c r="H254" s="1">
        <v>44915</v>
      </c>
      <c r="I254" t="s">
        <v>273</v>
      </c>
      <c r="J254" t="s">
        <v>59</v>
      </c>
      <c r="K254" t="s">
        <v>108</v>
      </c>
      <c r="L254" s="3">
        <f>IF(Sales_Table[[#This Row],[Revenue]]=0,0,Sales_Table[[#This Row],[Revenue]]/Sales_Table[[#This Row],[Profit]])</f>
        <v>7.7463465553235906</v>
      </c>
    </row>
    <row r="255" spans="1:12" x14ac:dyDescent="0.5">
      <c r="A255" t="s">
        <v>272</v>
      </c>
      <c r="B255">
        <v>7421</v>
      </c>
      <c r="C255">
        <v>958</v>
      </c>
      <c r="D255">
        <v>10</v>
      </c>
      <c r="E255" t="s">
        <v>36</v>
      </c>
      <c r="F255" t="s">
        <v>37</v>
      </c>
      <c r="G255" t="s">
        <v>53</v>
      </c>
      <c r="H255" s="1">
        <v>44577</v>
      </c>
      <c r="I255" t="s">
        <v>274</v>
      </c>
      <c r="J255" t="s">
        <v>59</v>
      </c>
      <c r="K255" t="s">
        <v>108</v>
      </c>
      <c r="L255" s="3">
        <f>IF(Sales_Table[[#This Row],[Revenue]]=0,0,Sales_Table[[#This Row],[Revenue]]/Sales_Table[[#This Row],[Profit]])</f>
        <v>7.7463465553235906</v>
      </c>
    </row>
    <row r="256" spans="1:12" x14ac:dyDescent="0.5">
      <c r="A256" t="s">
        <v>272</v>
      </c>
      <c r="B256">
        <v>7421</v>
      </c>
      <c r="C256">
        <v>958</v>
      </c>
      <c r="D256">
        <v>10</v>
      </c>
      <c r="E256" t="s">
        <v>36</v>
      </c>
      <c r="F256" t="s">
        <v>37</v>
      </c>
      <c r="G256" t="s">
        <v>53</v>
      </c>
      <c r="H256" s="1">
        <v>44955</v>
      </c>
      <c r="I256" t="s">
        <v>275</v>
      </c>
      <c r="J256" t="s">
        <v>59</v>
      </c>
      <c r="K256" t="s">
        <v>60</v>
      </c>
      <c r="L256" s="3">
        <f>IF(Sales_Table[[#This Row],[Revenue]]=0,0,Sales_Table[[#This Row],[Revenue]]/Sales_Table[[#This Row],[Profit]])</f>
        <v>7.7463465553235906</v>
      </c>
    </row>
    <row r="257" spans="1:12" x14ac:dyDescent="0.5">
      <c r="A257" t="s">
        <v>276</v>
      </c>
      <c r="B257">
        <v>3099</v>
      </c>
      <c r="C257">
        <v>479</v>
      </c>
      <c r="D257">
        <v>1</v>
      </c>
      <c r="E257" t="s">
        <v>24</v>
      </c>
      <c r="F257" t="s">
        <v>52</v>
      </c>
      <c r="G257" t="s">
        <v>53</v>
      </c>
      <c r="H257" s="1">
        <v>44576</v>
      </c>
      <c r="I257" t="s">
        <v>277</v>
      </c>
      <c r="J257" t="s">
        <v>20</v>
      </c>
      <c r="K257" t="s">
        <v>21</v>
      </c>
      <c r="L257" s="3">
        <f>IF(Sales_Table[[#This Row],[Revenue]]=0,0,Sales_Table[[#This Row],[Revenue]]/Sales_Table[[#This Row],[Profit]])</f>
        <v>6.4697286012526094</v>
      </c>
    </row>
    <row r="258" spans="1:12" x14ac:dyDescent="0.5">
      <c r="A258" t="s">
        <v>276</v>
      </c>
      <c r="B258">
        <v>2521</v>
      </c>
      <c r="C258">
        <v>906</v>
      </c>
      <c r="D258">
        <v>7</v>
      </c>
      <c r="E258" t="s">
        <v>10</v>
      </c>
      <c r="F258" t="s">
        <v>67</v>
      </c>
      <c r="G258" t="s">
        <v>53</v>
      </c>
      <c r="H258" s="1">
        <v>44576</v>
      </c>
      <c r="I258" t="s">
        <v>277</v>
      </c>
      <c r="J258" t="s">
        <v>20</v>
      </c>
      <c r="K258" t="s">
        <v>21</v>
      </c>
      <c r="L258" s="3">
        <f>IF(Sales_Table[[#This Row],[Revenue]]=0,0,Sales_Table[[#This Row],[Revenue]]/Sales_Table[[#This Row],[Profit]])</f>
        <v>2.7825607064017661</v>
      </c>
    </row>
    <row r="259" spans="1:12" x14ac:dyDescent="0.5">
      <c r="A259" t="s">
        <v>278</v>
      </c>
      <c r="B259">
        <v>6962</v>
      </c>
      <c r="C259">
        <v>3429</v>
      </c>
      <c r="D259">
        <v>12</v>
      </c>
      <c r="E259" t="s">
        <v>10</v>
      </c>
      <c r="F259" t="s">
        <v>11</v>
      </c>
      <c r="G259" t="s">
        <v>12</v>
      </c>
      <c r="H259" s="1">
        <v>45375</v>
      </c>
      <c r="I259" t="s">
        <v>279</v>
      </c>
      <c r="J259" t="s">
        <v>59</v>
      </c>
      <c r="K259" t="s">
        <v>60</v>
      </c>
      <c r="L259" s="3">
        <f>IF(Sales_Table[[#This Row],[Revenue]]=0,0,Sales_Table[[#This Row],[Revenue]]/Sales_Table[[#This Row],[Profit]])</f>
        <v>2.0303295421405658</v>
      </c>
    </row>
    <row r="260" spans="1:12" x14ac:dyDescent="0.5">
      <c r="A260" t="s">
        <v>278</v>
      </c>
      <c r="B260">
        <v>6962</v>
      </c>
      <c r="C260">
        <v>3429</v>
      </c>
      <c r="D260">
        <v>12</v>
      </c>
      <c r="E260" t="s">
        <v>10</v>
      </c>
      <c r="F260" t="s">
        <v>11</v>
      </c>
      <c r="G260" t="s">
        <v>12</v>
      </c>
      <c r="H260" s="1">
        <v>45707</v>
      </c>
      <c r="I260" t="s">
        <v>280</v>
      </c>
      <c r="J260" t="s">
        <v>14</v>
      </c>
      <c r="K260" t="s">
        <v>15</v>
      </c>
      <c r="L260" s="3">
        <f>IF(Sales_Table[[#This Row],[Revenue]]=0,0,Sales_Table[[#This Row],[Revenue]]/Sales_Table[[#This Row],[Profit]])</f>
        <v>2.0303295421405658</v>
      </c>
    </row>
    <row r="261" spans="1:12" x14ac:dyDescent="0.5">
      <c r="A261" t="s">
        <v>281</v>
      </c>
      <c r="B261">
        <v>1085</v>
      </c>
      <c r="C261">
        <v>301</v>
      </c>
      <c r="D261">
        <v>20</v>
      </c>
      <c r="E261" t="s">
        <v>36</v>
      </c>
      <c r="F261" t="s">
        <v>87</v>
      </c>
      <c r="G261" t="s">
        <v>12</v>
      </c>
      <c r="H261" s="1">
        <v>45486</v>
      </c>
      <c r="I261" t="s">
        <v>282</v>
      </c>
      <c r="J261" t="s">
        <v>20</v>
      </c>
      <c r="K261" t="s">
        <v>21</v>
      </c>
      <c r="L261" s="3">
        <f>IF(Sales_Table[[#This Row],[Revenue]]=0,0,Sales_Table[[#This Row],[Revenue]]/Sales_Table[[#This Row],[Profit]])</f>
        <v>3.6046511627906979</v>
      </c>
    </row>
    <row r="262" spans="1:12" x14ac:dyDescent="0.5">
      <c r="A262" t="s">
        <v>283</v>
      </c>
      <c r="B262">
        <v>738</v>
      </c>
      <c r="C262">
        <v>342</v>
      </c>
      <c r="D262">
        <v>2</v>
      </c>
      <c r="E262" t="s">
        <v>36</v>
      </c>
      <c r="F262" t="s">
        <v>40</v>
      </c>
      <c r="G262" t="s">
        <v>26</v>
      </c>
      <c r="H262" s="1">
        <v>45044</v>
      </c>
      <c r="I262" t="s">
        <v>284</v>
      </c>
      <c r="J262" t="s">
        <v>79</v>
      </c>
      <c r="K262" t="s">
        <v>86</v>
      </c>
      <c r="L262" s="3">
        <f>IF(Sales_Table[[#This Row],[Revenue]]=0,0,Sales_Table[[#This Row],[Revenue]]/Sales_Table[[#This Row],[Profit]])</f>
        <v>2.1578947368421053</v>
      </c>
    </row>
    <row r="263" spans="1:12" x14ac:dyDescent="0.5">
      <c r="A263" t="s">
        <v>283</v>
      </c>
      <c r="B263">
        <v>738</v>
      </c>
      <c r="C263">
        <v>342</v>
      </c>
      <c r="D263">
        <v>2</v>
      </c>
      <c r="E263" t="s">
        <v>36</v>
      </c>
      <c r="F263" t="s">
        <v>40</v>
      </c>
      <c r="G263" t="s">
        <v>26</v>
      </c>
      <c r="H263" s="1">
        <v>44170</v>
      </c>
      <c r="I263" t="s">
        <v>285</v>
      </c>
      <c r="J263" t="s">
        <v>20</v>
      </c>
      <c r="K263" t="s">
        <v>21</v>
      </c>
      <c r="L263" s="3">
        <f>IF(Sales_Table[[#This Row],[Revenue]]=0,0,Sales_Table[[#This Row],[Revenue]]/Sales_Table[[#This Row],[Profit]])</f>
        <v>2.1578947368421053</v>
      </c>
    </row>
    <row r="264" spans="1:12" x14ac:dyDescent="0.5">
      <c r="A264" t="s">
        <v>283</v>
      </c>
      <c r="B264">
        <v>738</v>
      </c>
      <c r="C264">
        <v>342</v>
      </c>
      <c r="D264">
        <v>2</v>
      </c>
      <c r="E264" t="s">
        <v>36</v>
      </c>
      <c r="F264" t="s">
        <v>40</v>
      </c>
      <c r="G264" t="s">
        <v>26</v>
      </c>
      <c r="H264" s="1">
        <v>45426</v>
      </c>
      <c r="I264" t="s">
        <v>286</v>
      </c>
      <c r="J264" t="s">
        <v>79</v>
      </c>
      <c r="K264" t="s">
        <v>86</v>
      </c>
      <c r="L264" s="3">
        <f>IF(Sales_Table[[#This Row],[Revenue]]=0,0,Sales_Table[[#This Row],[Revenue]]/Sales_Table[[#This Row],[Profit]])</f>
        <v>2.1578947368421053</v>
      </c>
    </row>
    <row r="265" spans="1:12" x14ac:dyDescent="0.5">
      <c r="A265" t="s">
        <v>283</v>
      </c>
      <c r="B265">
        <v>738</v>
      </c>
      <c r="C265">
        <v>342</v>
      </c>
      <c r="D265">
        <v>2</v>
      </c>
      <c r="E265" t="s">
        <v>36</v>
      </c>
      <c r="F265" t="s">
        <v>40</v>
      </c>
      <c r="G265" t="s">
        <v>26</v>
      </c>
      <c r="H265" s="1">
        <v>44579</v>
      </c>
      <c r="I265" t="s">
        <v>287</v>
      </c>
      <c r="J265" t="s">
        <v>20</v>
      </c>
      <c r="K265" t="s">
        <v>42</v>
      </c>
      <c r="L265" s="3">
        <f>IF(Sales_Table[[#This Row],[Revenue]]=0,0,Sales_Table[[#This Row],[Revenue]]/Sales_Table[[#This Row],[Profit]])</f>
        <v>2.1578947368421053</v>
      </c>
    </row>
    <row r="266" spans="1:12" x14ac:dyDescent="0.5">
      <c r="A266" t="s">
        <v>288</v>
      </c>
      <c r="B266">
        <v>1366</v>
      </c>
      <c r="C266">
        <v>242</v>
      </c>
      <c r="D266">
        <v>17</v>
      </c>
      <c r="E266" t="s">
        <v>10</v>
      </c>
      <c r="F266" t="s">
        <v>11</v>
      </c>
      <c r="G266" t="s">
        <v>32</v>
      </c>
      <c r="H266" s="1">
        <v>45187</v>
      </c>
      <c r="I266" t="s">
        <v>289</v>
      </c>
      <c r="J266" t="s">
        <v>79</v>
      </c>
      <c r="K266" t="s">
        <v>80</v>
      </c>
      <c r="L266" s="3">
        <f>IF(Sales_Table[[#This Row],[Revenue]]=0,0,Sales_Table[[#This Row],[Revenue]]/Sales_Table[[#This Row],[Profit]])</f>
        <v>5.6446280991735538</v>
      </c>
    </row>
    <row r="267" spans="1:12" x14ac:dyDescent="0.5">
      <c r="A267" t="s">
        <v>288</v>
      </c>
      <c r="B267">
        <v>1518</v>
      </c>
      <c r="C267">
        <v>155</v>
      </c>
      <c r="D267">
        <v>13</v>
      </c>
      <c r="E267" t="s">
        <v>24</v>
      </c>
      <c r="F267" t="s">
        <v>46</v>
      </c>
      <c r="G267" t="s">
        <v>38</v>
      </c>
      <c r="H267" s="1">
        <v>45187</v>
      </c>
      <c r="I267" t="s">
        <v>289</v>
      </c>
      <c r="J267" t="s">
        <v>79</v>
      </c>
      <c r="K267" t="s">
        <v>80</v>
      </c>
      <c r="L267" s="3">
        <f>IF(Sales_Table[[#This Row],[Revenue]]=0,0,Sales_Table[[#This Row],[Revenue]]/Sales_Table[[#This Row],[Profit]])</f>
        <v>9.7935483870967737</v>
      </c>
    </row>
    <row r="268" spans="1:12" x14ac:dyDescent="0.5">
      <c r="A268" t="s">
        <v>290</v>
      </c>
      <c r="B268">
        <v>2962</v>
      </c>
      <c r="C268">
        <v>1470</v>
      </c>
      <c r="D268">
        <v>1</v>
      </c>
      <c r="E268" t="s">
        <v>10</v>
      </c>
      <c r="F268" t="s">
        <v>67</v>
      </c>
      <c r="G268" t="s">
        <v>53</v>
      </c>
      <c r="H268" s="1">
        <v>44328</v>
      </c>
      <c r="I268" t="s">
        <v>291</v>
      </c>
      <c r="J268" t="s">
        <v>20</v>
      </c>
      <c r="K268" t="s">
        <v>21</v>
      </c>
      <c r="L268" s="3">
        <f>IF(Sales_Table[[#This Row],[Revenue]]=0,0,Sales_Table[[#This Row],[Revenue]]/Sales_Table[[#This Row],[Profit]])</f>
        <v>2.0149659863945577</v>
      </c>
    </row>
    <row r="269" spans="1:12" x14ac:dyDescent="0.5">
      <c r="A269" t="s">
        <v>290</v>
      </c>
      <c r="B269">
        <v>2962</v>
      </c>
      <c r="C269">
        <v>1470</v>
      </c>
      <c r="D269">
        <v>1</v>
      </c>
      <c r="E269" t="s">
        <v>10</v>
      </c>
      <c r="F269" t="s">
        <v>67</v>
      </c>
      <c r="G269" t="s">
        <v>53</v>
      </c>
      <c r="H269" s="1">
        <v>45186</v>
      </c>
      <c r="I269" t="s">
        <v>292</v>
      </c>
      <c r="J269" t="s">
        <v>14</v>
      </c>
      <c r="K269" t="s">
        <v>118</v>
      </c>
      <c r="L269" s="3">
        <f>IF(Sales_Table[[#This Row],[Revenue]]=0,0,Sales_Table[[#This Row],[Revenue]]/Sales_Table[[#This Row],[Profit]])</f>
        <v>2.0149659863945577</v>
      </c>
    </row>
    <row r="270" spans="1:12" x14ac:dyDescent="0.5">
      <c r="A270" t="s">
        <v>290</v>
      </c>
      <c r="B270">
        <v>7131</v>
      </c>
      <c r="C270">
        <v>718</v>
      </c>
      <c r="D270">
        <v>12</v>
      </c>
      <c r="E270" t="s">
        <v>10</v>
      </c>
      <c r="F270" t="s">
        <v>22</v>
      </c>
      <c r="G270" t="s">
        <v>12</v>
      </c>
      <c r="H270" s="1">
        <v>44328</v>
      </c>
      <c r="I270" t="s">
        <v>291</v>
      </c>
      <c r="J270" t="s">
        <v>20</v>
      </c>
      <c r="K270" t="s">
        <v>21</v>
      </c>
      <c r="L270" s="3">
        <f>IF(Sales_Table[[#This Row],[Revenue]]=0,0,Sales_Table[[#This Row],[Revenue]]/Sales_Table[[#This Row],[Profit]])</f>
        <v>9.9317548746518103</v>
      </c>
    </row>
    <row r="271" spans="1:12" x14ac:dyDescent="0.5">
      <c r="A271" t="s">
        <v>290</v>
      </c>
      <c r="B271">
        <v>7131</v>
      </c>
      <c r="C271">
        <v>718</v>
      </c>
      <c r="D271">
        <v>12</v>
      </c>
      <c r="E271" t="s">
        <v>10</v>
      </c>
      <c r="F271" t="s">
        <v>22</v>
      </c>
      <c r="G271" t="s">
        <v>12</v>
      </c>
      <c r="H271" s="1">
        <v>45186</v>
      </c>
      <c r="I271" t="s">
        <v>292</v>
      </c>
      <c r="J271" t="s">
        <v>14</v>
      </c>
      <c r="K271" t="s">
        <v>118</v>
      </c>
      <c r="L271" s="3">
        <f>IF(Sales_Table[[#This Row],[Revenue]]=0,0,Sales_Table[[#This Row],[Revenue]]/Sales_Table[[#This Row],[Profit]])</f>
        <v>9.9317548746518103</v>
      </c>
    </row>
    <row r="272" spans="1:12" x14ac:dyDescent="0.5">
      <c r="A272" t="s">
        <v>290</v>
      </c>
      <c r="B272">
        <v>4200</v>
      </c>
      <c r="C272">
        <v>855</v>
      </c>
      <c r="D272">
        <v>10</v>
      </c>
      <c r="E272" t="s">
        <v>24</v>
      </c>
      <c r="F272" t="s">
        <v>46</v>
      </c>
      <c r="G272" t="s">
        <v>32</v>
      </c>
      <c r="H272" s="1">
        <v>44328</v>
      </c>
      <c r="I272" t="s">
        <v>291</v>
      </c>
      <c r="J272" t="s">
        <v>20</v>
      </c>
      <c r="K272" t="s">
        <v>21</v>
      </c>
      <c r="L272" s="3">
        <f>IF(Sales_Table[[#This Row],[Revenue]]=0,0,Sales_Table[[#This Row],[Revenue]]/Sales_Table[[#This Row],[Profit]])</f>
        <v>4.9122807017543861</v>
      </c>
    </row>
    <row r="273" spans="1:12" x14ac:dyDescent="0.5">
      <c r="A273" t="s">
        <v>290</v>
      </c>
      <c r="B273">
        <v>4200</v>
      </c>
      <c r="C273">
        <v>855</v>
      </c>
      <c r="D273">
        <v>10</v>
      </c>
      <c r="E273" t="s">
        <v>24</v>
      </c>
      <c r="F273" t="s">
        <v>46</v>
      </c>
      <c r="G273" t="s">
        <v>32</v>
      </c>
      <c r="H273" s="1">
        <v>45186</v>
      </c>
      <c r="I273" t="s">
        <v>292</v>
      </c>
      <c r="J273" t="s">
        <v>14</v>
      </c>
      <c r="K273" t="s">
        <v>118</v>
      </c>
      <c r="L273" s="3">
        <f>IF(Sales_Table[[#This Row],[Revenue]]=0,0,Sales_Table[[#This Row],[Revenue]]/Sales_Table[[#This Row],[Profit]])</f>
        <v>4.9122807017543861</v>
      </c>
    </row>
    <row r="274" spans="1:12" x14ac:dyDescent="0.5">
      <c r="A274" t="s">
        <v>293</v>
      </c>
      <c r="B274">
        <v>5934</v>
      </c>
      <c r="C274">
        <v>1563</v>
      </c>
      <c r="D274">
        <v>2</v>
      </c>
      <c r="E274" t="s">
        <v>24</v>
      </c>
      <c r="F274" t="s">
        <v>46</v>
      </c>
      <c r="G274" t="s">
        <v>32</v>
      </c>
      <c r="H274" s="1">
        <v>45541</v>
      </c>
      <c r="I274" t="s">
        <v>294</v>
      </c>
      <c r="J274" t="s">
        <v>17</v>
      </c>
      <c r="K274" t="s">
        <v>134</v>
      </c>
      <c r="L274" s="3">
        <f>IF(Sales_Table[[#This Row],[Revenue]]=0,0,Sales_Table[[#This Row],[Revenue]]/Sales_Table[[#This Row],[Profit]])</f>
        <v>3.7965451055662189</v>
      </c>
    </row>
    <row r="275" spans="1:12" x14ac:dyDescent="0.5">
      <c r="A275" t="s">
        <v>295</v>
      </c>
      <c r="B275">
        <v>2701</v>
      </c>
      <c r="C275">
        <v>322</v>
      </c>
      <c r="D275">
        <v>11</v>
      </c>
      <c r="E275" t="s">
        <v>10</v>
      </c>
      <c r="F275" t="s">
        <v>22</v>
      </c>
      <c r="G275" t="s">
        <v>12</v>
      </c>
      <c r="H275" s="1">
        <v>44730</v>
      </c>
      <c r="I275" t="s">
        <v>296</v>
      </c>
      <c r="J275" t="s">
        <v>20</v>
      </c>
      <c r="K275" t="s">
        <v>42</v>
      </c>
      <c r="L275" s="3">
        <f>IF(Sales_Table[[#This Row],[Revenue]]=0,0,Sales_Table[[#This Row],[Revenue]]/Sales_Table[[#This Row],[Profit]])</f>
        <v>8.3881987577639752</v>
      </c>
    </row>
    <row r="276" spans="1:12" x14ac:dyDescent="0.5">
      <c r="A276" t="s">
        <v>295</v>
      </c>
      <c r="B276">
        <v>7273</v>
      </c>
      <c r="C276">
        <v>2702</v>
      </c>
      <c r="D276">
        <v>18</v>
      </c>
      <c r="E276" t="s">
        <v>24</v>
      </c>
      <c r="F276" t="s">
        <v>52</v>
      </c>
      <c r="G276" t="s">
        <v>53</v>
      </c>
      <c r="H276" s="1">
        <v>44730</v>
      </c>
      <c r="I276" t="s">
        <v>296</v>
      </c>
      <c r="J276" t="s">
        <v>20</v>
      </c>
      <c r="K276" t="s">
        <v>42</v>
      </c>
      <c r="L276" s="3">
        <f>IF(Sales_Table[[#This Row],[Revenue]]=0,0,Sales_Table[[#This Row],[Revenue]]/Sales_Table[[#This Row],[Profit]])</f>
        <v>2.6917098445595853</v>
      </c>
    </row>
    <row r="277" spans="1:12" x14ac:dyDescent="0.5">
      <c r="A277" t="s">
        <v>297</v>
      </c>
      <c r="B277">
        <v>2465</v>
      </c>
      <c r="C277">
        <v>699</v>
      </c>
      <c r="D277">
        <v>18</v>
      </c>
      <c r="E277" t="s">
        <v>24</v>
      </c>
      <c r="F277" t="s">
        <v>46</v>
      </c>
      <c r="G277" t="s">
        <v>26</v>
      </c>
      <c r="H277" s="1">
        <v>43973</v>
      </c>
      <c r="I277" t="s">
        <v>298</v>
      </c>
      <c r="J277" t="s">
        <v>34</v>
      </c>
      <c r="K277" t="s">
        <v>75</v>
      </c>
      <c r="L277" s="3">
        <f>IF(Sales_Table[[#This Row],[Revenue]]=0,0,Sales_Table[[#This Row],[Revenue]]/Sales_Table[[#This Row],[Profit]])</f>
        <v>3.5264663805436336</v>
      </c>
    </row>
    <row r="278" spans="1:12" x14ac:dyDescent="0.5">
      <c r="A278" t="s">
        <v>299</v>
      </c>
      <c r="B278">
        <v>3479</v>
      </c>
      <c r="C278">
        <v>1087</v>
      </c>
      <c r="D278">
        <v>2</v>
      </c>
      <c r="E278" t="s">
        <v>24</v>
      </c>
      <c r="F278" t="s">
        <v>46</v>
      </c>
      <c r="G278" t="s">
        <v>32</v>
      </c>
      <c r="H278" s="1">
        <v>45582</v>
      </c>
      <c r="I278" t="s">
        <v>300</v>
      </c>
      <c r="J278" t="s">
        <v>59</v>
      </c>
      <c r="K278" t="s">
        <v>60</v>
      </c>
      <c r="L278" s="3">
        <f>IF(Sales_Table[[#This Row],[Revenue]]=0,0,Sales_Table[[#This Row],[Revenue]]/Sales_Table[[#This Row],[Profit]])</f>
        <v>3.2005519779208833</v>
      </c>
    </row>
    <row r="279" spans="1:12" x14ac:dyDescent="0.5">
      <c r="A279" t="s">
        <v>299</v>
      </c>
      <c r="B279">
        <v>5457</v>
      </c>
      <c r="C279">
        <v>1765</v>
      </c>
      <c r="D279">
        <v>7</v>
      </c>
      <c r="E279" t="s">
        <v>10</v>
      </c>
      <c r="F279" t="s">
        <v>22</v>
      </c>
      <c r="G279" t="s">
        <v>32</v>
      </c>
      <c r="H279" s="1">
        <v>45582</v>
      </c>
      <c r="I279" t="s">
        <v>300</v>
      </c>
      <c r="J279" t="s">
        <v>59</v>
      </c>
      <c r="K279" t="s">
        <v>60</v>
      </c>
      <c r="L279" s="3">
        <f>IF(Sales_Table[[#This Row],[Revenue]]=0,0,Sales_Table[[#This Row],[Revenue]]/Sales_Table[[#This Row],[Profit]])</f>
        <v>3.091784702549575</v>
      </c>
    </row>
    <row r="280" spans="1:12" x14ac:dyDescent="0.5">
      <c r="A280" t="s">
        <v>301</v>
      </c>
      <c r="B280">
        <v>4957</v>
      </c>
      <c r="C280">
        <v>1152</v>
      </c>
      <c r="D280">
        <v>8</v>
      </c>
      <c r="E280" t="s">
        <v>24</v>
      </c>
      <c r="F280" t="s">
        <v>46</v>
      </c>
      <c r="G280" t="s">
        <v>38</v>
      </c>
      <c r="H280" s="1">
        <v>44642</v>
      </c>
      <c r="I280" t="s">
        <v>302</v>
      </c>
      <c r="J280" t="s">
        <v>79</v>
      </c>
      <c r="K280" t="s">
        <v>94</v>
      </c>
      <c r="L280" s="3">
        <f>IF(Sales_Table[[#This Row],[Revenue]]=0,0,Sales_Table[[#This Row],[Revenue]]/Sales_Table[[#This Row],[Profit]])</f>
        <v>4.3029513888888893</v>
      </c>
    </row>
    <row r="281" spans="1:12" x14ac:dyDescent="0.5">
      <c r="A281" t="s">
        <v>303</v>
      </c>
      <c r="B281">
        <v>4404</v>
      </c>
      <c r="C281">
        <v>858</v>
      </c>
      <c r="D281">
        <v>17</v>
      </c>
      <c r="E281" t="s">
        <v>24</v>
      </c>
      <c r="F281" t="s">
        <v>25</v>
      </c>
      <c r="G281" t="s">
        <v>26</v>
      </c>
      <c r="H281" s="1">
        <v>45368</v>
      </c>
      <c r="I281" t="s">
        <v>304</v>
      </c>
      <c r="J281" t="s">
        <v>79</v>
      </c>
      <c r="K281" t="s">
        <v>80</v>
      </c>
      <c r="L281" s="3">
        <f>IF(Sales_Table[[#This Row],[Revenue]]=0,0,Sales_Table[[#This Row],[Revenue]]/Sales_Table[[#This Row],[Profit]])</f>
        <v>5.1328671328671325</v>
      </c>
    </row>
    <row r="282" spans="1:12" x14ac:dyDescent="0.5">
      <c r="A282" t="s">
        <v>303</v>
      </c>
      <c r="B282">
        <v>8776</v>
      </c>
      <c r="C282">
        <v>2529</v>
      </c>
      <c r="D282">
        <v>15</v>
      </c>
      <c r="E282" t="s">
        <v>36</v>
      </c>
      <c r="F282" t="s">
        <v>48</v>
      </c>
      <c r="G282" t="s">
        <v>38</v>
      </c>
      <c r="H282" s="1">
        <v>45368</v>
      </c>
      <c r="I282" t="s">
        <v>304</v>
      </c>
      <c r="J282" t="s">
        <v>79</v>
      </c>
      <c r="K282" t="s">
        <v>80</v>
      </c>
      <c r="L282" s="3">
        <f>IF(Sales_Table[[#This Row],[Revenue]]=0,0,Sales_Table[[#This Row],[Revenue]]/Sales_Table[[#This Row],[Profit]])</f>
        <v>3.4701463028865165</v>
      </c>
    </row>
    <row r="283" spans="1:12" x14ac:dyDescent="0.5">
      <c r="A283" t="s">
        <v>305</v>
      </c>
      <c r="B283">
        <v>9536</v>
      </c>
      <c r="C283">
        <v>1437</v>
      </c>
      <c r="D283">
        <v>9</v>
      </c>
      <c r="E283" t="s">
        <v>10</v>
      </c>
      <c r="F283" t="s">
        <v>67</v>
      </c>
      <c r="G283" t="s">
        <v>12</v>
      </c>
      <c r="H283" s="1">
        <v>43923</v>
      </c>
      <c r="I283" t="s">
        <v>306</v>
      </c>
      <c r="J283" t="s">
        <v>14</v>
      </c>
      <c r="K283" t="s">
        <v>28</v>
      </c>
      <c r="L283" s="3">
        <f>IF(Sales_Table[[#This Row],[Revenue]]=0,0,Sales_Table[[#This Row],[Revenue]]/Sales_Table[[#This Row],[Profit]])</f>
        <v>6.6360473208072372</v>
      </c>
    </row>
    <row r="284" spans="1:12" x14ac:dyDescent="0.5">
      <c r="A284" t="s">
        <v>305</v>
      </c>
      <c r="B284">
        <v>2225</v>
      </c>
      <c r="C284">
        <v>589</v>
      </c>
      <c r="D284">
        <v>7</v>
      </c>
      <c r="E284" t="s">
        <v>36</v>
      </c>
      <c r="F284" t="s">
        <v>48</v>
      </c>
      <c r="G284" t="s">
        <v>38</v>
      </c>
      <c r="H284" s="1">
        <v>43923</v>
      </c>
      <c r="I284" t="s">
        <v>306</v>
      </c>
      <c r="J284" t="s">
        <v>14</v>
      </c>
      <c r="K284" t="s">
        <v>28</v>
      </c>
      <c r="L284" s="3">
        <f>IF(Sales_Table[[#This Row],[Revenue]]=0,0,Sales_Table[[#This Row],[Revenue]]/Sales_Table[[#This Row],[Profit]])</f>
        <v>3.7775891341256367</v>
      </c>
    </row>
    <row r="285" spans="1:12" x14ac:dyDescent="0.5">
      <c r="A285" t="s">
        <v>307</v>
      </c>
      <c r="B285">
        <v>9574</v>
      </c>
      <c r="C285">
        <v>4045</v>
      </c>
      <c r="D285">
        <v>19</v>
      </c>
      <c r="E285" t="s">
        <v>36</v>
      </c>
      <c r="F285" t="s">
        <v>87</v>
      </c>
      <c r="G285" t="s">
        <v>12</v>
      </c>
      <c r="H285" s="1">
        <v>45364</v>
      </c>
      <c r="I285" t="s">
        <v>308</v>
      </c>
      <c r="J285" t="s">
        <v>34</v>
      </c>
      <c r="K285" t="s">
        <v>75</v>
      </c>
      <c r="L285" s="3">
        <f>IF(Sales_Table[[#This Row],[Revenue]]=0,0,Sales_Table[[#This Row],[Revenue]]/Sales_Table[[#This Row],[Profit]])</f>
        <v>2.3668726823238564</v>
      </c>
    </row>
    <row r="286" spans="1:12" x14ac:dyDescent="0.5">
      <c r="A286" t="s">
        <v>307</v>
      </c>
      <c r="B286">
        <v>4382</v>
      </c>
      <c r="C286">
        <v>482</v>
      </c>
      <c r="D286">
        <v>17</v>
      </c>
      <c r="E286" t="s">
        <v>10</v>
      </c>
      <c r="F286" t="s">
        <v>11</v>
      </c>
      <c r="G286" t="s">
        <v>53</v>
      </c>
      <c r="H286" s="1">
        <v>45364</v>
      </c>
      <c r="I286" t="s">
        <v>308</v>
      </c>
      <c r="J286" t="s">
        <v>34</v>
      </c>
      <c r="K286" t="s">
        <v>75</v>
      </c>
      <c r="L286" s="3">
        <f>IF(Sales_Table[[#This Row],[Revenue]]=0,0,Sales_Table[[#This Row],[Revenue]]/Sales_Table[[#This Row],[Profit]])</f>
        <v>9.0912863070539416</v>
      </c>
    </row>
    <row r="287" spans="1:12" x14ac:dyDescent="0.5">
      <c r="A287" t="s">
        <v>309</v>
      </c>
      <c r="B287">
        <v>8200</v>
      </c>
      <c r="C287">
        <v>257</v>
      </c>
      <c r="D287">
        <v>19</v>
      </c>
      <c r="E287" t="s">
        <v>10</v>
      </c>
      <c r="F287" t="s">
        <v>31</v>
      </c>
      <c r="G287" t="s">
        <v>53</v>
      </c>
      <c r="H287" s="1">
        <v>45006</v>
      </c>
      <c r="I287" t="s">
        <v>310</v>
      </c>
      <c r="J287" t="s">
        <v>79</v>
      </c>
      <c r="K287" t="s">
        <v>86</v>
      </c>
      <c r="L287" s="3">
        <f>IF(Sales_Table[[#This Row],[Revenue]]=0,0,Sales_Table[[#This Row],[Revenue]]/Sales_Table[[#This Row],[Profit]])</f>
        <v>31.906614785992218</v>
      </c>
    </row>
    <row r="288" spans="1:12" x14ac:dyDescent="0.5">
      <c r="A288" t="s">
        <v>309</v>
      </c>
      <c r="B288">
        <v>9316</v>
      </c>
      <c r="C288">
        <v>3003</v>
      </c>
      <c r="D288">
        <v>13</v>
      </c>
      <c r="E288" t="s">
        <v>36</v>
      </c>
      <c r="F288" t="s">
        <v>48</v>
      </c>
      <c r="G288" t="s">
        <v>38</v>
      </c>
      <c r="H288" s="1">
        <v>45006</v>
      </c>
      <c r="I288" t="s">
        <v>310</v>
      </c>
      <c r="J288" t="s">
        <v>79</v>
      </c>
      <c r="K288" t="s">
        <v>86</v>
      </c>
      <c r="L288" s="3">
        <f>IF(Sales_Table[[#This Row],[Revenue]]=0,0,Sales_Table[[#This Row],[Revenue]]/Sales_Table[[#This Row],[Profit]])</f>
        <v>3.1022311022311024</v>
      </c>
    </row>
    <row r="289" spans="1:12" x14ac:dyDescent="0.5">
      <c r="A289" t="s">
        <v>309</v>
      </c>
      <c r="B289">
        <v>6379</v>
      </c>
      <c r="C289">
        <v>3128</v>
      </c>
      <c r="D289">
        <v>15</v>
      </c>
      <c r="E289" t="s">
        <v>10</v>
      </c>
      <c r="F289" t="s">
        <v>11</v>
      </c>
      <c r="G289" t="s">
        <v>53</v>
      </c>
      <c r="H289" s="1">
        <v>45006</v>
      </c>
      <c r="I289" t="s">
        <v>310</v>
      </c>
      <c r="J289" t="s">
        <v>79</v>
      </c>
      <c r="K289" t="s">
        <v>86</v>
      </c>
      <c r="L289" s="3">
        <f>IF(Sales_Table[[#This Row],[Revenue]]=0,0,Sales_Table[[#This Row],[Revenue]]/Sales_Table[[#This Row],[Profit]])</f>
        <v>2.039322250639386</v>
      </c>
    </row>
    <row r="290" spans="1:12" x14ac:dyDescent="0.5">
      <c r="A290" t="s">
        <v>311</v>
      </c>
      <c r="B290">
        <v>3348</v>
      </c>
      <c r="C290">
        <v>568</v>
      </c>
      <c r="D290">
        <v>5</v>
      </c>
      <c r="E290" t="s">
        <v>24</v>
      </c>
      <c r="F290" t="s">
        <v>46</v>
      </c>
      <c r="G290" t="s">
        <v>38</v>
      </c>
      <c r="H290" s="1">
        <v>45353</v>
      </c>
      <c r="I290" t="s">
        <v>312</v>
      </c>
      <c r="J290" t="s">
        <v>79</v>
      </c>
      <c r="K290" t="s">
        <v>94</v>
      </c>
      <c r="L290" s="3">
        <f>IF(Sales_Table[[#This Row],[Revenue]]=0,0,Sales_Table[[#This Row],[Revenue]]/Sales_Table[[#This Row],[Profit]])</f>
        <v>5.894366197183099</v>
      </c>
    </row>
    <row r="291" spans="1:12" x14ac:dyDescent="0.5">
      <c r="A291" t="s">
        <v>311</v>
      </c>
      <c r="B291">
        <v>3348</v>
      </c>
      <c r="C291">
        <v>568</v>
      </c>
      <c r="D291">
        <v>5</v>
      </c>
      <c r="E291" t="s">
        <v>24</v>
      </c>
      <c r="F291" t="s">
        <v>46</v>
      </c>
      <c r="G291" t="s">
        <v>38</v>
      </c>
      <c r="H291" s="1">
        <v>44316</v>
      </c>
      <c r="I291" t="s">
        <v>313</v>
      </c>
      <c r="J291" t="s">
        <v>20</v>
      </c>
      <c r="K291" t="s">
        <v>56</v>
      </c>
      <c r="L291" s="3">
        <f>IF(Sales_Table[[#This Row],[Revenue]]=0,0,Sales_Table[[#This Row],[Revenue]]/Sales_Table[[#This Row],[Profit]])</f>
        <v>5.894366197183099</v>
      </c>
    </row>
    <row r="292" spans="1:12" x14ac:dyDescent="0.5">
      <c r="A292" t="s">
        <v>311</v>
      </c>
      <c r="B292">
        <v>8856</v>
      </c>
      <c r="C292">
        <v>2020</v>
      </c>
      <c r="D292">
        <v>9</v>
      </c>
      <c r="E292" t="s">
        <v>24</v>
      </c>
      <c r="F292" t="s">
        <v>25</v>
      </c>
      <c r="G292" t="s">
        <v>26</v>
      </c>
      <c r="H292" s="1">
        <v>45353</v>
      </c>
      <c r="I292" t="s">
        <v>312</v>
      </c>
      <c r="J292" t="s">
        <v>79</v>
      </c>
      <c r="K292" t="s">
        <v>94</v>
      </c>
      <c r="L292" s="3">
        <f>IF(Sales_Table[[#This Row],[Revenue]]=0,0,Sales_Table[[#This Row],[Revenue]]/Sales_Table[[#This Row],[Profit]])</f>
        <v>4.3841584158415845</v>
      </c>
    </row>
    <row r="293" spans="1:12" x14ac:dyDescent="0.5">
      <c r="A293" t="s">
        <v>311</v>
      </c>
      <c r="B293">
        <v>8856</v>
      </c>
      <c r="C293">
        <v>2020</v>
      </c>
      <c r="D293">
        <v>9</v>
      </c>
      <c r="E293" t="s">
        <v>24</v>
      </c>
      <c r="F293" t="s">
        <v>25</v>
      </c>
      <c r="G293" t="s">
        <v>26</v>
      </c>
      <c r="H293" s="1">
        <v>44316</v>
      </c>
      <c r="I293" t="s">
        <v>313</v>
      </c>
      <c r="J293" t="s">
        <v>20</v>
      </c>
      <c r="K293" t="s">
        <v>56</v>
      </c>
      <c r="L293" s="3">
        <f>IF(Sales_Table[[#This Row],[Revenue]]=0,0,Sales_Table[[#This Row],[Revenue]]/Sales_Table[[#This Row],[Profit]])</f>
        <v>4.3841584158415845</v>
      </c>
    </row>
    <row r="294" spans="1:12" x14ac:dyDescent="0.5">
      <c r="A294" t="s">
        <v>314</v>
      </c>
      <c r="B294">
        <v>1760</v>
      </c>
      <c r="C294">
        <v>619</v>
      </c>
      <c r="D294">
        <v>16</v>
      </c>
      <c r="E294" t="s">
        <v>36</v>
      </c>
      <c r="F294" t="s">
        <v>48</v>
      </c>
      <c r="G294" t="s">
        <v>26</v>
      </c>
      <c r="H294" s="1">
        <v>44454</v>
      </c>
      <c r="I294" t="s">
        <v>315</v>
      </c>
      <c r="J294" t="s">
        <v>79</v>
      </c>
      <c r="K294" t="s">
        <v>80</v>
      </c>
      <c r="L294" s="3">
        <f>IF(Sales_Table[[#This Row],[Revenue]]=0,0,Sales_Table[[#This Row],[Revenue]]/Sales_Table[[#This Row],[Profit]])</f>
        <v>2.8432956381260097</v>
      </c>
    </row>
    <row r="295" spans="1:12" x14ac:dyDescent="0.5">
      <c r="A295" t="s">
        <v>314</v>
      </c>
      <c r="B295">
        <v>1760</v>
      </c>
      <c r="C295">
        <v>619</v>
      </c>
      <c r="D295">
        <v>16</v>
      </c>
      <c r="E295" t="s">
        <v>36</v>
      </c>
      <c r="F295" t="s">
        <v>48</v>
      </c>
      <c r="G295" t="s">
        <v>26</v>
      </c>
      <c r="H295" s="1">
        <v>44954</v>
      </c>
      <c r="I295" t="s">
        <v>316</v>
      </c>
      <c r="J295" t="s">
        <v>59</v>
      </c>
      <c r="K295" t="s">
        <v>108</v>
      </c>
      <c r="L295" s="3">
        <f>IF(Sales_Table[[#This Row],[Revenue]]=0,0,Sales_Table[[#This Row],[Revenue]]/Sales_Table[[#This Row],[Profit]])</f>
        <v>2.8432956381260097</v>
      </c>
    </row>
    <row r="296" spans="1:12" x14ac:dyDescent="0.5">
      <c r="A296" t="s">
        <v>314</v>
      </c>
      <c r="B296">
        <v>6351</v>
      </c>
      <c r="C296">
        <v>986</v>
      </c>
      <c r="D296">
        <v>15</v>
      </c>
      <c r="E296" t="s">
        <v>10</v>
      </c>
      <c r="F296" t="s">
        <v>22</v>
      </c>
      <c r="G296" t="s">
        <v>12</v>
      </c>
      <c r="H296" s="1">
        <v>44454</v>
      </c>
      <c r="I296" t="s">
        <v>315</v>
      </c>
      <c r="J296" t="s">
        <v>79</v>
      </c>
      <c r="K296" t="s">
        <v>80</v>
      </c>
      <c r="L296" s="3">
        <f>IF(Sales_Table[[#This Row],[Revenue]]=0,0,Sales_Table[[#This Row],[Revenue]]/Sales_Table[[#This Row],[Profit]])</f>
        <v>6.4411764705882355</v>
      </c>
    </row>
    <row r="297" spans="1:12" x14ac:dyDescent="0.5">
      <c r="A297" t="s">
        <v>314</v>
      </c>
      <c r="B297">
        <v>6351</v>
      </c>
      <c r="C297">
        <v>986</v>
      </c>
      <c r="D297">
        <v>15</v>
      </c>
      <c r="E297" t="s">
        <v>10</v>
      </c>
      <c r="F297" t="s">
        <v>22</v>
      </c>
      <c r="G297" t="s">
        <v>12</v>
      </c>
      <c r="H297" s="1">
        <v>44954</v>
      </c>
      <c r="I297" t="s">
        <v>316</v>
      </c>
      <c r="J297" t="s">
        <v>59</v>
      </c>
      <c r="K297" t="s">
        <v>108</v>
      </c>
      <c r="L297" s="3">
        <f>IF(Sales_Table[[#This Row],[Revenue]]=0,0,Sales_Table[[#This Row],[Revenue]]/Sales_Table[[#This Row],[Profit]])</f>
        <v>6.4411764705882355</v>
      </c>
    </row>
    <row r="298" spans="1:12" x14ac:dyDescent="0.5">
      <c r="A298" t="s">
        <v>317</v>
      </c>
      <c r="B298">
        <v>869</v>
      </c>
      <c r="C298">
        <v>373</v>
      </c>
      <c r="D298">
        <v>14</v>
      </c>
      <c r="E298" t="s">
        <v>24</v>
      </c>
      <c r="F298" t="s">
        <v>52</v>
      </c>
      <c r="G298" t="s">
        <v>38</v>
      </c>
      <c r="H298" s="1">
        <v>44385</v>
      </c>
      <c r="I298" t="s">
        <v>318</v>
      </c>
      <c r="J298" t="s">
        <v>20</v>
      </c>
      <c r="K298" t="s">
        <v>42</v>
      </c>
      <c r="L298" s="3">
        <f>IF(Sales_Table[[#This Row],[Revenue]]=0,0,Sales_Table[[#This Row],[Revenue]]/Sales_Table[[#This Row],[Profit]])</f>
        <v>2.3297587131367292</v>
      </c>
    </row>
    <row r="299" spans="1:12" x14ac:dyDescent="0.5">
      <c r="A299" t="s">
        <v>317</v>
      </c>
      <c r="B299">
        <v>869</v>
      </c>
      <c r="C299">
        <v>373</v>
      </c>
      <c r="D299">
        <v>14</v>
      </c>
      <c r="E299" t="s">
        <v>24</v>
      </c>
      <c r="F299" t="s">
        <v>52</v>
      </c>
      <c r="G299" t="s">
        <v>38</v>
      </c>
      <c r="H299" s="1">
        <v>43929</v>
      </c>
      <c r="I299" t="s">
        <v>319</v>
      </c>
      <c r="J299" t="s">
        <v>79</v>
      </c>
      <c r="K299" t="s">
        <v>94</v>
      </c>
      <c r="L299" s="3">
        <f>IF(Sales_Table[[#This Row],[Revenue]]=0,0,Sales_Table[[#This Row],[Revenue]]/Sales_Table[[#This Row],[Profit]])</f>
        <v>2.3297587131367292</v>
      </c>
    </row>
    <row r="300" spans="1:12" x14ac:dyDescent="0.5">
      <c r="A300" t="s">
        <v>317</v>
      </c>
      <c r="B300">
        <v>1486</v>
      </c>
      <c r="C300">
        <v>114</v>
      </c>
      <c r="D300">
        <v>7</v>
      </c>
      <c r="E300" t="s">
        <v>36</v>
      </c>
      <c r="F300" t="s">
        <v>87</v>
      </c>
      <c r="G300" t="s">
        <v>12</v>
      </c>
      <c r="H300" s="1">
        <v>44385</v>
      </c>
      <c r="I300" t="s">
        <v>318</v>
      </c>
      <c r="J300" t="s">
        <v>20</v>
      </c>
      <c r="K300" t="s">
        <v>42</v>
      </c>
      <c r="L300" s="3">
        <f>IF(Sales_Table[[#This Row],[Revenue]]=0,0,Sales_Table[[#This Row],[Revenue]]/Sales_Table[[#This Row],[Profit]])</f>
        <v>13.035087719298245</v>
      </c>
    </row>
    <row r="301" spans="1:12" x14ac:dyDescent="0.5">
      <c r="A301" t="s">
        <v>317</v>
      </c>
      <c r="B301">
        <v>1486</v>
      </c>
      <c r="C301">
        <v>114</v>
      </c>
      <c r="D301">
        <v>7</v>
      </c>
      <c r="E301" t="s">
        <v>36</v>
      </c>
      <c r="F301" t="s">
        <v>87</v>
      </c>
      <c r="G301" t="s">
        <v>12</v>
      </c>
      <c r="H301" s="1">
        <v>43929</v>
      </c>
      <c r="I301" t="s">
        <v>319</v>
      </c>
      <c r="J301" t="s">
        <v>79</v>
      </c>
      <c r="K301" t="s">
        <v>94</v>
      </c>
      <c r="L301" s="3">
        <f>IF(Sales_Table[[#This Row],[Revenue]]=0,0,Sales_Table[[#This Row],[Revenue]]/Sales_Table[[#This Row],[Profit]])</f>
        <v>13.035087719298245</v>
      </c>
    </row>
    <row r="302" spans="1:12" x14ac:dyDescent="0.5">
      <c r="A302" t="s">
        <v>320</v>
      </c>
      <c r="B302">
        <v>2999</v>
      </c>
      <c r="C302">
        <v>145</v>
      </c>
      <c r="D302">
        <v>13</v>
      </c>
      <c r="E302" t="s">
        <v>24</v>
      </c>
      <c r="F302" t="s">
        <v>64</v>
      </c>
      <c r="G302" t="s">
        <v>53</v>
      </c>
      <c r="H302" s="1">
        <v>44796</v>
      </c>
      <c r="I302" t="s">
        <v>321</v>
      </c>
      <c r="J302" t="s">
        <v>17</v>
      </c>
      <c r="K302" t="s">
        <v>18</v>
      </c>
      <c r="L302" s="3">
        <f>IF(Sales_Table[[#This Row],[Revenue]]=0,0,Sales_Table[[#This Row],[Revenue]]/Sales_Table[[#This Row],[Profit]])</f>
        <v>20.682758620689654</v>
      </c>
    </row>
    <row r="303" spans="1:12" x14ac:dyDescent="0.5">
      <c r="A303" t="s">
        <v>320</v>
      </c>
      <c r="B303">
        <v>5142</v>
      </c>
      <c r="C303">
        <v>1916</v>
      </c>
      <c r="D303">
        <v>20</v>
      </c>
      <c r="E303" t="s">
        <v>24</v>
      </c>
      <c r="F303" t="s">
        <v>52</v>
      </c>
      <c r="G303" t="s">
        <v>32</v>
      </c>
      <c r="H303" s="1">
        <v>44796</v>
      </c>
      <c r="I303" t="s">
        <v>321</v>
      </c>
      <c r="J303" t="s">
        <v>17</v>
      </c>
      <c r="K303" t="s">
        <v>18</v>
      </c>
      <c r="L303" s="3">
        <f>IF(Sales_Table[[#This Row],[Revenue]]=0,0,Sales_Table[[#This Row],[Revenue]]/Sales_Table[[#This Row],[Profit]])</f>
        <v>2.6837160751565761</v>
      </c>
    </row>
    <row r="304" spans="1:12" x14ac:dyDescent="0.5">
      <c r="A304" t="s">
        <v>322</v>
      </c>
      <c r="B304">
        <v>1239</v>
      </c>
      <c r="C304">
        <v>575</v>
      </c>
      <c r="D304">
        <v>17</v>
      </c>
      <c r="E304" t="s">
        <v>10</v>
      </c>
      <c r="F304" t="s">
        <v>31</v>
      </c>
      <c r="G304" t="s">
        <v>12</v>
      </c>
      <c r="H304" s="1">
        <v>44912</v>
      </c>
      <c r="I304" t="s">
        <v>323</v>
      </c>
      <c r="J304" t="s">
        <v>20</v>
      </c>
      <c r="K304" t="s">
        <v>56</v>
      </c>
      <c r="L304" s="3">
        <f>IF(Sales_Table[[#This Row],[Revenue]]=0,0,Sales_Table[[#This Row],[Revenue]]/Sales_Table[[#This Row],[Profit]])</f>
        <v>2.1547826086956521</v>
      </c>
    </row>
    <row r="305" spans="1:12" x14ac:dyDescent="0.5">
      <c r="A305" t="s">
        <v>322</v>
      </c>
      <c r="B305">
        <v>1239</v>
      </c>
      <c r="C305">
        <v>575</v>
      </c>
      <c r="D305">
        <v>17</v>
      </c>
      <c r="E305" t="s">
        <v>10</v>
      </c>
      <c r="F305" t="s">
        <v>31</v>
      </c>
      <c r="G305" t="s">
        <v>12</v>
      </c>
      <c r="H305" s="1">
        <v>44720</v>
      </c>
      <c r="I305" t="s">
        <v>324</v>
      </c>
      <c r="J305" t="s">
        <v>17</v>
      </c>
      <c r="K305" t="s">
        <v>51</v>
      </c>
      <c r="L305" s="3">
        <f>IF(Sales_Table[[#This Row],[Revenue]]=0,0,Sales_Table[[#This Row],[Revenue]]/Sales_Table[[#This Row],[Profit]])</f>
        <v>2.1547826086956521</v>
      </c>
    </row>
    <row r="306" spans="1:12" x14ac:dyDescent="0.5">
      <c r="A306" t="s">
        <v>322</v>
      </c>
      <c r="B306">
        <v>1262</v>
      </c>
      <c r="C306">
        <v>515</v>
      </c>
      <c r="D306">
        <v>16</v>
      </c>
      <c r="E306" t="s">
        <v>10</v>
      </c>
      <c r="F306" t="s">
        <v>11</v>
      </c>
      <c r="G306" t="s">
        <v>32</v>
      </c>
      <c r="H306" s="1">
        <v>44912</v>
      </c>
      <c r="I306" t="s">
        <v>323</v>
      </c>
      <c r="J306" t="s">
        <v>20</v>
      </c>
      <c r="K306" t="s">
        <v>56</v>
      </c>
      <c r="L306" s="3">
        <f>IF(Sales_Table[[#This Row],[Revenue]]=0,0,Sales_Table[[#This Row],[Revenue]]/Sales_Table[[#This Row],[Profit]])</f>
        <v>2.4504854368932039</v>
      </c>
    </row>
    <row r="307" spans="1:12" x14ac:dyDescent="0.5">
      <c r="A307" t="s">
        <v>322</v>
      </c>
      <c r="B307">
        <v>1262</v>
      </c>
      <c r="C307">
        <v>515</v>
      </c>
      <c r="D307">
        <v>16</v>
      </c>
      <c r="E307" t="s">
        <v>10</v>
      </c>
      <c r="F307" t="s">
        <v>11</v>
      </c>
      <c r="G307" t="s">
        <v>32</v>
      </c>
      <c r="H307" s="1">
        <v>44720</v>
      </c>
      <c r="I307" t="s">
        <v>324</v>
      </c>
      <c r="J307" t="s">
        <v>17</v>
      </c>
      <c r="K307" t="s">
        <v>51</v>
      </c>
      <c r="L307" s="3">
        <f>IF(Sales_Table[[#This Row],[Revenue]]=0,0,Sales_Table[[#This Row],[Revenue]]/Sales_Table[[#This Row],[Profit]])</f>
        <v>2.4504854368932039</v>
      </c>
    </row>
    <row r="308" spans="1:12" x14ac:dyDescent="0.5">
      <c r="A308" t="s">
        <v>325</v>
      </c>
      <c r="B308">
        <v>1033</v>
      </c>
      <c r="C308">
        <v>254</v>
      </c>
      <c r="D308">
        <v>5</v>
      </c>
      <c r="E308" t="s">
        <v>36</v>
      </c>
      <c r="F308" t="s">
        <v>87</v>
      </c>
      <c r="G308" t="s">
        <v>53</v>
      </c>
      <c r="H308" s="1">
        <v>44071</v>
      </c>
      <c r="I308" t="s">
        <v>326</v>
      </c>
      <c r="J308" t="s">
        <v>20</v>
      </c>
      <c r="K308" t="s">
        <v>56</v>
      </c>
      <c r="L308" s="3">
        <f>IF(Sales_Table[[#This Row],[Revenue]]=0,0,Sales_Table[[#This Row],[Revenue]]/Sales_Table[[#This Row],[Profit]])</f>
        <v>4.0669291338582676</v>
      </c>
    </row>
    <row r="309" spans="1:12" x14ac:dyDescent="0.5">
      <c r="A309" t="s">
        <v>327</v>
      </c>
      <c r="B309">
        <v>1518</v>
      </c>
      <c r="C309">
        <v>159</v>
      </c>
      <c r="D309">
        <v>19</v>
      </c>
      <c r="E309" t="s">
        <v>10</v>
      </c>
      <c r="F309" t="s">
        <v>22</v>
      </c>
      <c r="G309" t="s">
        <v>12</v>
      </c>
      <c r="H309" s="1">
        <v>44100</v>
      </c>
      <c r="I309" t="s">
        <v>328</v>
      </c>
      <c r="J309" t="s">
        <v>34</v>
      </c>
      <c r="K309" t="s">
        <v>62</v>
      </c>
      <c r="L309" s="3">
        <f>IF(Sales_Table[[#This Row],[Revenue]]=0,0,Sales_Table[[#This Row],[Revenue]]/Sales_Table[[#This Row],[Profit]])</f>
        <v>9.5471698113207548</v>
      </c>
    </row>
    <row r="310" spans="1:12" x14ac:dyDescent="0.5">
      <c r="A310" t="s">
        <v>329</v>
      </c>
      <c r="B310">
        <v>8581</v>
      </c>
      <c r="C310">
        <v>2444</v>
      </c>
      <c r="D310">
        <v>2</v>
      </c>
      <c r="E310" t="s">
        <v>24</v>
      </c>
      <c r="F310" t="s">
        <v>52</v>
      </c>
      <c r="G310" t="s">
        <v>26</v>
      </c>
      <c r="H310" s="1">
        <v>44178</v>
      </c>
      <c r="I310" t="s">
        <v>330</v>
      </c>
      <c r="J310" t="s">
        <v>17</v>
      </c>
      <c r="K310" t="s">
        <v>134</v>
      </c>
      <c r="L310" s="3">
        <f>IF(Sales_Table[[#This Row],[Revenue]]=0,0,Sales_Table[[#This Row],[Revenue]]/Sales_Table[[#This Row],[Profit]])</f>
        <v>3.5110474631751227</v>
      </c>
    </row>
    <row r="311" spans="1:12" x14ac:dyDescent="0.5">
      <c r="A311" t="s">
        <v>329</v>
      </c>
      <c r="B311">
        <v>8581</v>
      </c>
      <c r="C311">
        <v>2444</v>
      </c>
      <c r="D311">
        <v>2</v>
      </c>
      <c r="E311" t="s">
        <v>24</v>
      </c>
      <c r="F311" t="s">
        <v>52</v>
      </c>
      <c r="G311" t="s">
        <v>26</v>
      </c>
      <c r="H311" s="1">
        <v>44154</v>
      </c>
      <c r="I311" t="s">
        <v>331</v>
      </c>
      <c r="J311" t="s">
        <v>14</v>
      </c>
      <c r="K311" t="s">
        <v>28</v>
      </c>
      <c r="L311" s="3">
        <f>IF(Sales_Table[[#This Row],[Revenue]]=0,0,Sales_Table[[#This Row],[Revenue]]/Sales_Table[[#This Row],[Profit]])</f>
        <v>3.5110474631751227</v>
      </c>
    </row>
    <row r="312" spans="1:12" x14ac:dyDescent="0.5">
      <c r="A312" t="s">
        <v>332</v>
      </c>
      <c r="B312">
        <v>1167</v>
      </c>
      <c r="C312">
        <v>463</v>
      </c>
      <c r="D312">
        <v>5</v>
      </c>
      <c r="E312" t="s">
        <v>24</v>
      </c>
      <c r="F312" t="s">
        <v>25</v>
      </c>
      <c r="G312" t="s">
        <v>12</v>
      </c>
      <c r="H312" s="1">
        <v>45182</v>
      </c>
      <c r="I312" t="s">
        <v>333</v>
      </c>
      <c r="J312" t="s">
        <v>59</v>
      </c>
      <c r="K312" t="s">
        <v>71</v>
      </c>
      <c r="L312" s="3">
        <f>IF(Sales_Table[[#This Row],[Revenue]]=0,0,Sales_Table[[#This Row],[Revenue]]/Sales_Table[[#This Row],[Profit]])</f>
        <v>2.5205183585313176</v>
      </c>
    </row>
    <row r="313" spans="1:12" x14ac:dyDescent="0.5">
      <c r="A313" t="s">
        <v>332</v>
      </c>
      <c r="B313">
        <v>2841</v>
      </c>
      <c r="C313">
        <v>803</v>
      </c>
      <c r="D313">
        <v>20</v>
      </c>
      <c r="E313" t="s">
        <v>10</v>
      </c>
      <c r="F313" t="s">
        <v>31</v>
      </c>
      <c r="G313" t="s">
        <v>38</v>
      </c>
      <c r="H313" s="1">
        <v>45182</v>
      </c>
      <c r="I313" t="s">
        <v>333</v>
      </c>
      <c r="J313" t="s">
        <v>59</v>
      </c>
      <c r="K313" t="s">
        <v>71</v>
      </c>
      <c r="L313" s="3">
        <f>IF(Sales_Table[[#This Row],[Revenue]]=0,0,Sales_Table[[#This Row],[Revenue]]/Sales_Table[[#This Row],[Profit]])</f>
        <v>3.5379825653798256</v>
      </c>
    </row>
    <row r="314" spans="1:12" x14ac:dyDescent="0.5">
      <c r="A314" t="s">
        <v>332</v>
      </c>
      <c r="B314">
        <v>5680</v>
      </c>
      <c r="C314">
        <v>2159</v>
      </c>
      <c r="D314">
        <v>19</v>
      </c>
      <c r="E314" t="s">
        <v>36</v>
      </c>
      <c r="F314" t="s">
        <v>37</v>
      </c>
      <c r="G314" t="s">
        <v>12</v>
      </c>
      <c r="H314" s="1">
        <v>45182</v>
      </c>
      <c r="I314" t="s">
        <v>333</v>
      </c>
      <c r="J314" t="s">
        <v>59</v>
      </c>
      <c r="K314" t="s">
        <v>71</v>
      </c>
      <c r="L314" s="3">
        <f>IF(Sales_Table[[#This Row],[Revenue]]=0,0,Sales_Table[[#This Row],[Revenue]]/Sales_Table[[#This Row],[Profit]])</f>
        <v>2.6308476146364059</v>
      </c>
    </row>
    <row r="315" spans="1:12" x14ac:dyDescent="0.5">
      <c r="A315" t="s">
        <v>334</v>
      </c>
      <c r="B315">
        <v>8204</v>
      </c>
      <c r="C315">
        <v>2382</v>
      </c>
      <c r="D315">
        <v>6</v>
      </c>
      <c r="E315" t="s">
        <v>24</v>
      </c>
      <c r="F315" t="s">
        <v>25</v>
      </c>
      <c r="G315" t="s">
        <v>12</v>
      </c>
      <c r="H315" s="1">
        <v>43921</v>
      </c>
      <c r="I315" t="s">
        <v>335</v>
      </c>
      <c r="J315" t="s">
        <v>17</v>
      </c>
      <c r="K315" t="s">
        <v>18</v>
      </c>
      <c r="L315" s="3">
        <f>IF(Sales_Table[[#This Row],[Revenue]]=0,0,Sales_Table[[#This Row],[Revenue]]/Sales_Table[[#This Row],[Profit]])</f>
        <v>3.4441645675902604</v>
      </c>
    </row>
    <row r="316" spans="1:12" x14ac:dyDescent="0.5">
      <c r="A316" t="s">
        <v>334</v>
      </c>
      <c r="B316">
        <v>8204</v>
      </c>
      <c r="C316">
        <v>2382</v>
      </c>
      <c r="D316">
        <v>6</v>
      </c>
      <c r="E316" t="s">
        <v>24</v>
      </c>
      <c r="F316" t="s">
        <v>25</v>
      </c>
      <c r="G316" t="s">
        <v>12</v>
      </c>
      <c r="H316" s="1">
        <v>44124</v>
      </c>
      <c r="I316" t="s">
        <v>336</v>
      </c>
      <c r="J316" t="s">
        <v>20</v>
      </c>
      <c r="K316" t="s">
        <v>21</v>
      </c>
      <c r="L316" s="3">
        <f>IF(Sales_Table[[#This Row],[Revenue]]=0,0,Sales_Table[[#This Row],[Revenue]]/Sales_Table[[#This Row],[Profit]])</f>
        <v>3.4441645675902604</v>
      </c>
    </row>
    <row r="317" spans="1:12" x14ac:dyDescent="0.5">
      <c r="A317" t="s">
        <v>334</v>
      </c>
      <c r="B317">
        <v>2850</v>
      </c>
      <c r="C317">
        <v>904</v>
      </c>
      <c r="D317">
        <v>6</v>
      </c>
      <c r="E317" t="s">
        <v>10</v>
      </c>
      <c r="F317" t="s">
        <v>67</v>
      </c>
      <c r="G317" t="s">
        <v>32</v>
      </c>
      <c r="H317" s="1">
        <v>43921</v>
      </c>
      <c r="I317" t="s">
        <v>335</v>
      </c>
      <c r="J317" t="s">
        <v>17</v>
      </c>
      <c r="K317" t="s">
        <v>18</v>
      </c>
      <c r="L317" s="3">
        <f>IF(Sales_Table[[#This Row],[Revenue]]=0,0,Sales_Table[[#This Row],[Revenue]]/Sales_Table[[#This Row],[Profit]])</f>
        <v>3.1526548672566372</v>
      </c>
    </row>
    <row r="318" spans="1:12" x14ac:dyDescent="0.5">
      <c r="A318" t="s">
        <v>334</v>
      </c>
      <c r="B318">
        <v>2850</v>
      </c>
      <c r="C318">
        <v>904</v>
      </c>
      <c r="D318">
        <v>6</v>
      </c>
      <c r="E318" t="s">
        <v>10</v>
      </c>
      <c r="F318" t="s">
        <v>67</v>
      </c>
      <c r="G318" t="s">
        <v>32</v>
      </c>
      <c r="H318" s="1">
        <v>44124</v>
      </c>
      <c r="I318" t="s">
        <v>336</v>
      </c>
      <c r="J318" t="s">
        <v>20</v>
      </c>
      <c r="K318" t="s">
        <v>21</v>
      </c>
      <c r="L318" s="3">
        <f>IF(Sales_Table[[#This Row],[Revenue]]=0,0,Sales_Table[[#This Row],[Revenue]]/Sales_Table[[#This Row],[Profit]])</f>
        <v>3.1526548672566372</v>
      </c>
    </row>
    <row r="319" spans="1:12" x14ac:dyDescent="0.5">
      <c r="A319" t="s">
        <v>337</v>
      </c>
      <c r="B319">
        <v>907</v>
      </c>
      <c r="C319">
        <v>391</v>
      </c>
      <c r="D319">
        <v>9</v>
      </c>
      <c r="E319" t="s">
        <v>24</v>
      </c>
      <c r="F319" t="s">
        <v>25</v>
      </c>
      <c r="G319" t="s">
        <v>38</v>
      </c>
      <c r="H319" s="1">
        <v>45142</v>
      </c>
      <c r="I319" t="s">
        <v>338</v>
      </c>
      <c r="J319" t="s">
        <v>20</v>
      </c>
      <c r="K319" t="s">
        <v>42</v>
      </c>
      <c r="L319" s="3">
        <f>IF(Sales_Table[[#This Row],[Revenue]]=0,0,Sales_Table[[#This Row],[Revenue]]/Sales_Table[[#This Row],[Profit]])</f>
        <v>2.3196930946291561</v>
      </c>
    </row>
    <row r="320" spans="1:12" x14ac:dyDescent="0.5">
      <c r="A320" t="s">
        <v>339</v>
      </c>
      <c r="B320">
        <v>2174</v>
      </c>
      <c r="C320">
        <v>265</v>
      </c>
      <c r="D320">
        <v>19</v>
      </c>
      <c r="E320" t="s">
        <v>24</v>
      </c>
      <c r="F320" t="s">
        <v>25</v>
      </c>
      <c r="G320" t="s">
        <v>38</v>
      </c>
      <c r="H320" s="1">
        <v>44662</v>
      </c>
      <c r="I320" t="s">
        <v>340</v>
      </c>
      <c r="J320" t="s">
        <v>79</v>
      </c>
      <c r="K320" t="s">
        <v>86</v>
      </c>
      <c r="L320" s="3">
        <f>IF(Sales_Table[[#This Row],[Revenue]]=0,0,Sales_Table[[#This Row],[Revenue]]/Sales_Table[[#This Row],[Profit]])</f>
        <v>8.2037735849056599</v>
      </c>
    </row>
    <row r="321" spans="1:12" x14ac:dyDescent="0.5">
      <c r="A321" t="s">
        <v>339</v>
      </c>
      <c r="B321">
        <v>8541</v>
      </c>
      <c r="C321">
        <v>2029</v>
      </c>
      <c r="D321">
        <v>12</v>
      </c>
      <c r="E321" t="s">
        <v>10</v>
      </c>
      <c r="F321" t="s">
        <v>11</v>
      </c>
      <c r="G321" t="s">
        <v>38</v>
      </c>
      <c r="H321" s="1">
        <v>44662</v>
      </c>
      <c r="I321" t="s">
        <v>340</v>
      </c>
      <c r="J321" t="s">
        <v>79</v>
      </c>
      <c r="K321" t="s">
        <v>86</v>
      </c>
      <c r="L321" s="3">
        <f>IF(Sales_Table[[#This Row],[Revenue]]=0,0,Sales_Table[[#This Row],[Revenue]]/Sales_Table[[#This Row],[Profit]])</f>
        <v>4.2094627895515035</v>
      </c>
    </row>
    <row r="322" spans="1:12" x14ac:dyDescent="0.5">
      <c r="A322" t="s">
        <v>339</v>
      </c>
      <c r="B322">
        <v>1931</v>
      </c>
      <c r="C322">
        <v>551</v>
      </c>
      <c r="D322">
        <v>3</v>
      </c>
      <c r="E322" t="s">
        <v>36</v>
      </c>
      <c r="F322" t="s">
        <v>87</v>
      </c>
      <c r="G322" t="s">
        <v>32</v>
      </c>
      <c r="H322" s="1">
        <v>44662</v>
      </c>
      <c r="I322" t="s">
        <v>340</v>
      </c>
      <c r="J322" t="s">
        <v>79</v>
      </c>
      <c r="K322" t="s">
        <v>86</v>
      </c>
      <c r="L322" s="3">
        <f>IF(Sales_Table[[#This Row],[Revenue]]=0,0,Sales_Table[[#This Row],[Revenue]]/Sales_Table[[#This Row],[Profit]])</f>
        <v>3.5045372050816699</v>
      </c>
    </row>
    <row r="323" spans="1:12" x14ac:dyDescent="0.5">
      <c r="A323" t="s">
        <v>341</v>
      </c>
      <c r="B323">
        <v>1281</v>
      </c>
      <c r="C323">
        <v>340</v>
      </c>
      <c r="D323">
        <v>3</v>
      </c>
      <c r="E323" t="s">
        <v>10</v>
      </c>
      <c r="F323" t="s">
        <v>11</v>
      </c>
      <c r="G323" t="s">
        <v>26</v>
      </c>
      <c r="H323" s="1">
        <v>44561</v>
      </c>
      <c r="I323" t="s">
        <v>342</v>
      </c>
      <c r="J323" t="s">
        <v>59</v>
      </c>
      <c r="K323" t="s">
        <v>71</v>
      </c>
      <c r="L323" s="3">
        <f>IF(Sales_Table[[#This Row],[Revenue]]=0,0,Sales_Table[[#This Row],[Revenue]]/Sales_Table[[#This Row],[Profit]])</f>
        <v>3.7676470588235293</v>
      </c>
    </row>
    <row r="324" spans="1:12" x14ac:dyDescent="0.5">
      <c r="A324" t="s">
        <v>341</v>
      </c>
      <c r="B324">
        <v>2404</v>
      </c>
      <c r="C324">
        <v>253</v>
      </c>
      <c r="D324">
        <v>15</v>
      </c>
      <c r="E324" t="s">
        <v>10</v>
      </c>
      <c r="F324" t="s">
        <v>31</v>
      </c>
      <c r="G324" t="s">
        <v>53</v>
      </c>
      <c r="H324" s="1">
        <v>44561</v>
      </c>
      <c r="I324" t="s">
        <v>342</v>
      </c>
      <c r="J324" t="s">
        <v>59</v>
      </c>
      <c r="K324" t="s">
        <v>71</v>
      </c>
      <c r="L324" s="3">
        <f>IF(Sales_Table[[#This Row],[Revenue]]=0,0,Sales_Table[[#This Row],[Revenue]]/Sales_Table[[#This Row],[Profit]])</f>
        <v>9.5019762845849804</v>
      </c>
    </row>
    <row r="325" spans="1:12" x14ac:dyDescent="0.5">
      <c r="A325" t="s">
        <v>343</v>
      </c>
      <c r="B325">
        <v>2119</v>
      </c>
      <c r="C325">
        <v>196</v>
      </c>
      <c r="D325">
        <v>1</v>
      </c>
      <c r="E325" t="s">
        <v>36</v>
      </c>
      <c r="F325" t="s">
        <v>48</v>
      </c>
      <c r="G325" t="s">
        <v>53</v>
      </c>
      <c r="H325" s="1">
        <v>44059</v>
      </c>
      <c r="I325" t="s">
        <v>344</v>
      </c>
      <c r="J325" t="s">
        <v>34</v>
      </c>
      <c r="K325" t="s">
        <v>35</v>
      </c>
      <c r="L325" s="3">
        <f>IF(Sales_Table[[#This Row],[Revenue]]=0,0,Sales_Table[[#This Row],[Revenue]]/Sales_Table[[#This Row],[Profit]])</f>
        <v>10.811224489795919</v>
      </c>
    </row>
    <row r="326" spans="1:12" x14ac:dyDescent="0.5">
      <c r="A326" t="s">
        <v>345</v>
      </c>
      <c r="B326">
        <v>3137</v>
      </c>
      <c r="C326">
        <v>571</v>
      </c>
      <c r="D326">
        <v>9</v>
      </c>
      <c r="E326" t="s">
        <v>24</v>
      </c>
      <c r="F326" t="s">
        <v>25</v>
      </c>
      <c r="G326" t="s">
        <v>26</v>
      </c>
      <c r="H326" s="1">
        <v>45690</v>
      </c>
      <c r="I326" t="s">
        <v>346</v>
      </c>
      <c r="J326" t="s">
        <v>17</v>
      </c>
      <c r="K326" t="s">
        <v>18</v>
      </c>
      <c r="L326" s="3">
        <f>IF(Sales_Table[[#This Row],[Revenue]]=0,0,Sales_Table[[#This Row],[Revenue]]/Sales_Table[[#This Row],[Profit]])</f>
        <v>5.4938704028021013</v>
      </c>
    </row>
    <row r="327" spans="1:12" x14ac:dyDescent="0.5">
      <c r="A327" t="s">
        <v>347</v>
      </c>
      <c r="B327">
        <v>2323</v>
      </c>
      <c r="C327">
        <v>727</v>
      </c>
      <c r="D327">
        <v>7</v>
      </c>
      <c r="E327" t="s">
        <v>36</v>
      </c>
      <c r="F327" t="s">
        <v>37</v>
      </c>
      <c r="G327" t="s">
        <v>53</v>
      </c>
      <c r="H327" s="1">
        <v>44616</v>
      </c>
      <c r="I327" t="s">
        <v>348</v>
      </c>
      <c r="J327" t="s">
        <v>59</v>
      </c>
      <c r="K327" t="s">
        <v>60</v>
      </c>
      <c r="L327" s="3">
        <f>IF(Sales_Table[[#This Row],[Revenue]]=0,0,Sales_Table[[#This Row],[Revenue]]/Sales_Table[[#This Row],[Profit]])</f>
        <v>3.1953232462173315</v>
      </c>
    </row>
    <row r="328" spans="1:12" x14ac:dyDescent="0.5">
      <c r="A328" t="s">
        <v>347</v>
      </c>
      <c r="B328">
        <v>1368</v>
      </c>
      <c r="C328">
        <v>406</v>
      </c>
      <c r="D328">
        <v>9</v>
      </c>
      <c r="E328" t="s">
        <v>36</v>
      </c>
      <c r="F328" t="s">
        <v>87</v>
      </c>
      <c r="G328" t="s">
        <v>12</v>
      </c>
      <c r="H328" s="1">
        <v>44616</v>
      </c>
      <c r="I328" t="s">
        <v>348</v>
      </c>
      <c r="J328" t="s">
        <v>59</v>
      </c>
      <c r="K328" t="s">
        <v>60</v>
      </c>
      <c r="L328" s="3">
        <f>IF(Sales_Table[[#This Row],[Revenue]]=0,0,Sales_Table[[#This Row],[Revenue]]/Sales_Table[[#This Row],[Profit]])</f>
        <v>3.3694581280788176</v>
      </c>
    </row>
    <row r="329" spans="1:12" x14ac:dyDescent="0.5">
      <c r="A329" t="s">
        <v>349</v>
      </c>
      <c r="B329">
        <v>9204</v>
      </c>
      <c r="C329">
        <v>3289</v>
      </c>
      <c r="D329">
        <v>16</v>
      </c>
      <c r="E329" t="s">
        <v>10</v>
      </c>
      <c r="F329" t="s">
        <v>31</v>
      </c>
      <c r="G329" t="s">
        <v>38</v>
      </c>
      <c r="H329" s="1">
        <v>45347</v>
      </c>
      <c r="I329" t="s">
        <v>350</v>
      </c>
      <c r="J329" t="s">
        <v>14</v>
      </c>
      <c r="K329" t="s">
        <v>15</v>
      </c>
      <c r="L329" s="3">
        <f>IF(Sales_Table[[#This Row],[Revenue]]=0,0,Sales_Table[[#This Row],[Revenue]]/Sales_Table[[#This Row],[Profit]])</f>
        <v>2.7984189723320156</v>
      </c>
    </row>
    <row r="330" spans="1:12" x14ac:dyDescent="0.5">
      <c r="A330" t="s">
        <v>349</v>
      </c>
      <c r="B330">
        <v>9204</v>
      </c>
      <c r="C330">
        <v>3289</v>
      </c>
      <c r="D330">
        <v>16</v>
      </c>
      <c r="E330" t="s">
        <v>10</v>
      </c>
      <c r="F330" t="s">
        <v>31</v>
      </c>
      <c r="G330" t="s">
        <v>38</v>
      </c>
      <c r="H330" s="1">
        <v>44362</v>
      </c>
      <c r="I330" t="s">
        <v>351</v>
      </c>
      <c r="J330" t="s">
        <v>14</v>
      </c>
      <c r="K330" t="s">
        <v>15</v>
      </c>
      <c r="L330" s="3">
        <f>IF(Sales_Table[[#This Row],[Revenue]]=0,0,Sales_Table[[#This Row],[Revenue]]/Sales_Table[[#This Row],[Profit]])</f>
        <v>2.7984189723320156</v>
      </c>
    </row>
    <row r="331" spans="1:12" x14ac:dyDescent="0.5">
      <c r="A331" t="s">
        <v>349</v>
      </c>
      <c r="B331">
        <v>9894</v>
      </c>
      <c r="C331">
        <v>3698</v>
      </c>
      <c r="D331">
        <v>20</v>
      </c>
      <c r="E331" t="s">
        <v>24</v>
      </c>
      <c r="F331" t="s">
        <v>52</v>
      </c>
      <c r="G331" t="s">
        <v>32</v>
      </c>
      <c r="H331" s="1">
        <v>45347</v>
      </c>
      <c r="I331" t="s">
        <v>350</v>
      </c>
      <c r="J331" t="s">
        <v>14</v>
      </c>
      <c r="K331" t="s">
        <v>15</v>
      </c>
      <c r="L331" s="3">
        <f>IF(Sales_Table[[#This Row],[Revenue]]=0,0,Sales_Table[[#This Row],[Revenue]]/Sales_Table[[#This Row],[Profit]])</f>
        <v>2.6755002704164412</v>
      </c>
    </row>
    <row r="332" spans="1:12" x14ac:dyDescent="0.5">
      <c r="A332" t="s">
        <v>349</v>
      </c>
      <c r="B332">
        <v>9894</v>
      </c>
      <c r="C332">
        <v>3698</v>
      </c>
      <c r="D332">
        <v>20</v>
      </c>
      <c r="E332" t="s">
        <v>24</v>
      </c>
      <c r="F332" t="s">
        <v>52</v>
      </c>
      <c r="G332" t="s">
        <v>32</v>
      </c>
      <c r="H332" s="1">
        <v>44362</v>
      </c>
      <c r="I332" t="s">
        <v>351</v>
      </c>
      <c r="J332" t="s">
        <v>14</v>
      </c>
      <c r="K332" t="s">
        <v>15</v>
      </c>
      <c r="L332" s="3">
        <f>IF(Sales_Table[[#This Row],[Revenue]]=0,0,Sales_Table[[#This Row],[Revenue]]/Sales_Table[[#This Row],[Profit]])</f>
        <v>2.6755002704164412</v>
      </c>
    </row>
    <row r="333" spans="1:12" x14ac:dyDescent="0.5">
      <c r="A333" t="s">
        <v>352</v>
      </c>
      <c r="B333">
        <v>5322</v>
      </c>
      <c r="C333">
        <v>1423</v>
      </c>
      <c r="D333">
        <v>18</v>
      </c>
      <c r="E333" t="s">
        <v>36</v>
      </c>
      <c r="F333" t="s">
        <v>48</v>
      </c>
      <c r="G333" t="s">
        <v>53</v>
      </c>
      <c r="H333" s="1">
        <v>44903</v>
      </c>
      <c r="I333" t="s">
        <v>353</v>
      </c>
      <c r="J333" t="s">
        <v>59</v>
      </c>
      <c r="K333" t="s">
        <v>108</v>
      </c>
      <c r="L333" s="3">
        <f>IF(Sales_Table[[#This Row],[Revenue]]=0,0,Sales_Table[[#This Row],[Revenue]]/Sales_Table[[#This Row],[Profit]])</f>
        <v>3.7399859451862261</v>
      </c>
    </row>
    <row r="334" spans="1:12" x14ac:dyDescent="0.5">
      <c r="A334" t="s">
        <v>352</v>
      </c>
      <c r="B334">
        <v>5322</v>
      </c>
      <c r="C334">
        <v>1423</v>
      </c>
      <c r="D334">
        <v>18</v>
      </c>
      <c r="E334" t="s">
        <v>36</v>
      </c>
      <c r="F334" t="s">
        <v>48</v>
      </c>
      <c r="G334" t="s">
        <v>53</v>
      </c>
      <c r="H334" s="1">
        <v>45269</v>
      </c>
      <c r="I334" t="s">
        <v>354</v>
      </c>
      <c r="J334" t="s">
        <v>59</v>
      </c>
      <c r="K334" t="s">
        <v>60</v>
      </c>
      <c r="L334" s="3">
        <f>IF(Sales_Table[[#This Row],[Revenue]]=0,0,Sales_Table[[#This Row],[Revenue]]/Sales_Table[[#This Row],[Profit]])</f>
        <v>3.7399859451862261</v>
      </c>
    </row>
    <row r="335" spans="1:12" x14ac:dyDescent="0.5">
      <c r="A335" t="s">
        <v>355</v>
      </c>
      <c r="B335">
        <v>2666</v>
      </c>
      <c r="C335">
        <v>559</v>
      </c>
      <c r="D335">
        <v>14</v>
      </c>
      <c r="E335" t="s">
        <v>36</v>
      </c>
      <c r="F335" t="s">
        <v>40</v>
      </c>
      <c r="G335" t="s">
        <v>53</v>
      </c>
      <c r="H335" s="1">
        <v>44758</v>
      </c>
      <c r="I335" t="s">
        <v>356</v>
      </c>
      <c r="J335" t="s">
        <v>79</v>
      </c>
      <c r="K335" t="s">
        <v>94</v>
      </c>
      <c r="L335" s="3">
        <f>IF(Sales_Table[[#This Row],[Revenue]]=0,0,Sales_Table[[#This Row],[Revenue]]/Sales_Table[[#This Row],[Profit]])</f>
        <v>4.7692307692307692</v>
      </c>
    </row>
    <row r="336" spans="1:12" x14ac:dyDescent="0.5">
      <c r="A336" t="s">
        <v>357</v>
      </c>
      <c r="B336">
        <v>8383</v>
      </c>
      <c r="C336">
        <v>937</v>
      </c>
      <c r="D336">
        <v>4</v>
      </c>
      <c r="E336" t="s">
        <v>36</v>
      </c>
      <c r="F336" t="s">
        <v>48</v>
      </c>
      <c r="G336" t="s">
        <v>12</v>
      </c>
      <c r="H336" s="1">
        <v>45417</v>
      </c>
      <c r="I336" t="s">
        <v>358</v>
      </c>
      <c r="J336" t="s">
        <v>14</v>
      </c>
      <c r="K336" t="s">
        <v>28</v>
      </c>
      <c r="L336" s="3">
        <f>IF(Sales_Table[[#This Row],[Revenue]]=0,0,Sales_Table[[#This Row],[Revenue]]/Sales_Table[[#This Row],[Profit]])</f>
        <v>8.9466382070437565</v>
      </c>
    </row>
    <row r="337" spans="1:12" x14ac:dyDescent="0.5">
      <c r="A337" t="s">
        <v>359</v>
      </c>
      <c r="B337">
        <v>7560</v>
      </c>
      <c r="C337">
        <v>821</v>
      </c>
      <c r="D337">
        <v>4</v>
      </c>
      <c r="E337" t="s">
        <v>24</v>
      </c>
      <c r="F337" t="s">
        <v>52</v>
      </c>
      <c r="G337" t="s">
        <v>32</v>
      </c>
      <c r="H337" s="1">
        <v>44473</v>
      </c>
      <c r="I337" t="s">
        <v>360</v>
      </c>
      <c r="J337" t="s">
        <v>17</v>
      </c>
      <c r="K337" t="s">
        <v>18</v>
      </c>
      <c r="L337" s="3">
        <f>IF(Sales_Table[[#This Row],[Revenue]]=0,0,Sales_Table[[#This Row],[Revenue]]/Sales_Table[[#This Row],[Profit]])</f>
        <v>9.2082825822168086</v>
      </c>
    </row>
    <row r="338" spans="1:12" x14ac:dyDescent="0.5">
      <c r="A338" t="s">
        <v>361</v>
      </c>
      <c r="B338">
        <v>1314</v>
      </c>
      <c r="C338">
        <v>490</v>
      </c>
      <c r="D338">
        <v>16</v>
      </c>
      <c r="E338" t="s">
        <v>36</v>
      </c>
      <c r="F338" t="s">
        <v>48</v>
      </c>
      <c r="G338" t="s">
        <v>12</v>
      </c>
      <c r="H338" s="1">
        <v>44520</v>
      </c>
      <c r="I338" t="s">
        <v>362</v>
      </c>
      <c r="J338" t="s">
        <v>20</v>
      </c>
      <c r="K338" t="s">
        <v>21</v>
      </c>
      <c r="L338" s="3">
        <f>IF(Sales_Table[[#This Row],[Revenue]]=0,0,Sales_Table[[#This Row],[Revenue]]/Sales_Table[[#This Row],[Profit]])</f>
        <v>2.6816326530612247</v>
      </c>
    </row>
    <row r="339" spans="1:12" x14ac:dyDescent="0.5">
      <c r="A339" t="s">
        <v>361</v>
      </c>
      <c r="B339">
        <v>4390</v>
      </c>
      <c r="C339">
        <v>179</v>
      </c>
      <c r="D339">
        <v>1</v>
      </c>
      <c r="E339" t="s">
        <v>36</v>
      </c>
      <c r="F339" t="s">
        <v>37</v>
      </c>
      <c r="G339" t="s">
        <v>26</v>
      </c>
      <c r="H339" s="1">
        <v>44520</v>
      </c>
      <c r="I339" t="s">
        <v>362</v>
      </c>
      <c r="J339" t="s">
        <v>20</v>
      </c>
      <c r="K339" t="s">
        <v>21</v>
      </c>
      <c r="L339" s="3">
        <f>IF(Sales_Table[[#This Row],[Revenue]]=0,0,Sales_Table[[#This Row],[Revenue]]/Sales_Table[[#This Row],[Profit]])</f>
        <v>24.52513966480447</v>
      </c>
    </row>
    <row r="340" spans="1:12" x14ac:dyDescent="0.5">
      <c r="A340" t="s">
        <v>361</v>
      </c>
      <c r="B340">
        <v>1150</v>
      </c>
      <c r="C340">
        <v>58</v>
      </c>
      <c r="D340">
        <v>7</v>
      </c>
      <c r="E340" t="s">
        <v>24</v>
      </c>
      <c r="F340" t="s">
        <v>64</v>
      </c>
      <c r="G340" t="s">
        <v>26</v>
      </c>
      <c r="H340" s="1">
        <v>44520</v>
      </c>
      <c r="I340" t="s">
        <v>362</v>
      </c>
      <c r="J340" t="s">
        <v>20</v>
      </c>
      <c r="K340" t="s">
        <v>21</v>
      </c>
      <c r="L340" s="3">
        <f>IF(Sales_Table[[#This Row],[Revenue]]=0,0,Sales_Table[[#This Row],[Revenue]]/Sales_Table[[#This Row],[Profit]])</f>
        <v>19.827586206896552</v>
      </c>
    </row>
    <row r="341" spans="1:12" x14ac:dyDescent="0.5">
      <c r="A341" t="s">
        <v>363</v>
      </c>
      <c r="B341">
        <v>1574</v>
      </c>
      <c r="C341">
        <v>258</v>
      </c>
      <c r="D341">
        <v>17</v>
      </c>
      <c r="E341" t="s">
        <v>24</v>
      </c>
      <c r="F341" t="s">
        <v>25</v>
      </c>
      <c r="G341" t="s">
        <v>32</v>
      </c>
      <c r="H341" s="1">
        <v>44089</v>
      </c>
      <c r="I341" t="s">
        <v>364</v>
      </c>
      <c r="J341" t="s">
        <v>34</v>
      </c>
      <c r="K341" t="s">
        <v>62</v>
      </c>
      <c r="L341" s="3">
        <f>IF(Sales_Table[[#This Row],[Revenue]]=0,0,Sales_Table[[#This Row],[Revenue]]/Sales_Table[[#This Row],[Profit]])</f>
        <v>6.1007751937984498</v>
      </c>
    </row>
    <row r="342" spans="1:12" x14ac:dyDescent="0.5">
      <c r="A342" t="s">
        <v>363</v>
      </c>
      <c r="B342">
        <v>5635</v>
      </c>
      <c r="C342">
        <v>318</v>
      </c>
      <c r="D342">
        <v>17</v>
      </c>
      <c r="E342" t="s">
        <v>24</v>
      </c>
      <c r="F342" t="s">
        <v>64</v>
      </c>
      <c r="G342" t="s">
        <v>12</v>
      </c>
      <c r="H342" s="1">
        <v>44089</v>
      </c>
      <c r="I342" t="s">
        <v>364</v>
      </c>
      <c r="J342" t="s">
        <v>34</v>
      </c>
      <c r="K342" t="s">
        <v>62</v>
      </c>
      <c r="L342" s="3">
        <f>IF(Sales_Table[[#This Row],[Revenue]]=0,0,Sales_Table[[#This Row],[Revenue]]/Sales_Table[[#This Row],[Profit]])</f>
        <v>17.720125786163521</v>
      </c>
    </row>
    <row r="343" spans="1:12" x14ac:dyDescent="0.5">
      <c r="A343" t="s">
        <v>363</v>
      </c>
      <c r="B343">
        <v>6515</v>
      </c>
      <c r="C343">
        <v>961</v>
      </c>
      <c r="D343">
        <v>11</v>
      </c>
      <c r="E343" t="s">
        <v>36</v>
      </c>
      <c r="F343" t="s">
        <v>48</v>
      </c>
      <c r="G343" t="s">
        <v>26</v>
      </c>
      <c r="H343" s="1">
        <v>44089</v>
      </c>
      <c r="I343" t="s">
        <v>364</v>
      </c>
      <c r="J343" t="s">
        <v>34</v>
      </c>
      <c r="K343" t="s">
        <v>62</v>
      </c>
      <c r="L343" s="3">
        <f>IF(Sales_Table[[#This Row],[Revenue]]=0,0,Sales_Table[[#This Row],[Revenue]]/Sales_Table[[#This Row],[Profit]])</f>
        <v>6.7793964620187301</v>
      </c>
    </row>
    <row r="344" spans="1:12" x14ac:dyDescent="0.5">
      <c r="A344" t="s">
        <v>365</v>
      </c>
      <c r="B344">
        <v>1231</v>
      </c>
      <c r="C344">
        <v>214</v>
      </c>
      <c r="D344">
        <v>20</v>
      </c>
      <c r="E344" t="s">
        <v>10</v>
      </c>
      <c r="F344" t="s">
        <v>31</v>
      </c>
      <c r="G344" t="s">
        <v>26</v>
      </c>
      <c r="H344" s="1">
        <v>44943</v>
      </c>
      <c r="I344" t="s">
        <v>366</v>
      </c>
      <c r="J344" t="s">
        <v>79</v>
      </c>
      <c r="K344" t="s">
        <v>80</v>
      </c>
      <c r="L344" s="3">
        <f>IF(Sales_Table[[#This Row],[Revenue]]=0,0,Sales_Table[[#This Row],[Revenue]]/Sales_Table[[#This Row],[Profit]])</f>
        <v>5.7523364485981308</v>
      </c>
    </row>
    <row r="345" spans="1:12" x14ac:dyDescent="0.5">
      <c r="A345" t="s">
        <v>365</v>
      </c>
      <c r="B345">
        <v>1231</v>
      </c>
      <c r="C345">
        <v>214</v>
      </c>
      <c r="D345">
        <v>20</v>
      </c>
      <c r="E345" t="s">
        <v>10</v>
      </c>
      <c r="F345" t="s">
        <v>31</v>
      </c>
      <c r="G345" t="s">
        <v>26</v>
      </c>
      <c r="H345" s="1">
        <v>43998</v>
      </c>
      <c r="I345" t="s">
        <v>367</v>
      </c>
      <c r="J345" t="s">
        <v>20</v>
      </c>
      <c r="K345" t="s">
        <v>56</v>
      </c>
      <c r="L345" s="3">
        <f>IF(Sales_Table[[#This Row],[Revenue]]=0,0,Sales_Table[[#This Row],[Revenue]]/Sales_Table[[#This Row],[Profit]])</f>
        <v>5.7523364485981308</v>
      </c>
    </row>
    <row r="346" spans="1:12" x14ac:dyDescent="0.5">
      <c r="A346" t="s">
        <v>368</v>
      </c>
      <c r="B346">
        <v>6891</v>
      </c>
      <c r="C346">
        <v>2529</v>
      </c>
      <c r="D346">
        <v>3</v>
      </c>
      <c r="E346" t="s">
        <v>24</v>
      </c>
      <c r="F346" t="s">
        <v>64</v>
      </c>
      <c r="G346" t="s">
        <v>26</v>
      </c>
      <c r="H346" s="1">
        <v>45413</v>
      </c>
      <c r="I346" t="s">
        <v>369</v>
      </c>
      <c r="J346" t="s">
        <v>79</v>
      </c>
      <c r="K346" t="s">
        <v>94</v>
      </c>
      <c r="L346" s="3">
        <f>IF(Sales_Table[[#This Row],[Revenue]]=0,0,Sales_Table[[#This Row],[Revenue]]/Sales_Table[[#This Row],[Profit]])</f>
        <v>2.7247924080664294</v>
      </c>
    </row>
    <row r="347" spans="1:12" x14ac:dyDescent="0.5">
      <c r="A347" t="s">
        <v>370</v>
      </c>
      <c r="B347">
        <v>7524</v>
      </c>
      <c r="C347">
        <v>2308</v>
      </c>
      <c r="D347">
        <v>15</v>
      </c>
      <c r="E347" t="s">
        <v>10</v>
      </c>
      <c r="F347" t="s">
        <v>31</v>
      </c>
      <c r="G347" t="s">
        <v>32</v>
      </c>
      <c r="H347" s="1">
        <v>45267</v>
      </c>
      <c r="I347" t="s">
        <v>371</v>
      </c>
      <c r="J347" t="s">
        <v>59</v>
      </c>
      <c r="K347" t="s">
        <v>71</v>
      </c>
      <c r="L347" s="3">
        <f>IF(Sales_Table[[#This Row],[Revenue]]=0,0,Sales_Table[[#This Row],[Revenue]]/Sales_Table[[#This Row],[Profit]])</f>
        <v>3.2599653379549394</v>
      </c>
    </row>
    <row r="348" spans="1:12" x14ac:dyDescent="0.5">
      <c r="A348" t="s">
        <v>370</v>
      </c>
      <c r="B348">
        <v>6864</v>
      </c>
      <c r="C348">
        <v>1824</v>
      </c>
      <c r="D348">
        <v>14</v>
      </c>
      <c r="E348" t="s">
        <v>10</v>
      </c>
      <c r="F348" t="s">
        <v>22</v>
      </c>
      <c r="G348" t="s">
        <v>38</v>
      </c>
      <c r="H348" s="1">
        <v>45267</v>
      </c>
      <c r="I348" t="s">
        <v>371</v>
      </c>
      <c r="J348" t="s">
        <v>59</v>
      </c>
      <c r="K348" t="s">
        <v>71</v>
      </c>
      <c r="L348" s="3">
        <f>IF(Sales_Table[[#This Row],[Revenue]]=0,0,Sales_Table[[#This Row],[Revenue]]/Sales_Table[[#This Row],[Profit]])</f>
        <v>3.763157894736842</v>
      </c>
    </row>
    <row r="349" spans="1:12" x14ac:dyDescent="0.5">
      <c r="A349" t="s">
        <v>372</v>
      </c>
      <c r="B349">
        <v>4215</v>
      </c>
      <c r="C349">
        <v>432</v>
      </c>
      <c r="D349">
        <v>14</v>
      </c>
      <c r="E349" t="s">
        <v>36</v>
      </c>
      <c r="F349" t="s">
        <v>40</v>
      </c>
      <c r="G349" t="s">
        <v>26</v>
      </c>
      <c r="H349" s="1">
        <v>45324</v>
      </c>
      <c r="I349" t="s">
        <v>373</v>
      </c>
      <c r="J349" t="s">
        <v>79</v>
      </c>
      <c r="K349" t="s">
        <v>80</v>
      </c>
      <c r="L349" s="3">
        <f>IF(Sales_Table[[#This Row],[Revenue]]=0,0,Sales_Table[[#This Row],[Revenue]]/Sales_Table[[#This Row],[Profit]])</f>
        <v>9.7569444444444446</v>
      </c>
    </row>
    <row r="350" spans="1:12" x14ac:dyDescent="0.5">
      <c r="A350" t="s">
        <v>374</v>
      </c>
      <c r="B350">
        <v>622</v>
      </c>
      <c r="C350">
        <v>218</v>
      </c>
      <c r="D350">
        <v>19</v>
      </c>
      <c r="E350" t="s">
        <v>36</v>
      </c>
      <c r="F350" t="s">
        <v>87</v>
      </c>
      <c r="G350" t="s">
        <v>38</v>
      </c>
      <c r="H350" s="1">
        <v>45466</v>
      </c>
      <c r="I350" t="s">
        <v>375</v>
      </c>
      <c r="J350" t="s">
        <v>34</v>
      </c>
      <c r="K350" t="s">
        <v>62</v>
      </c>
      <c r="L350" s="3">
        <f>IF(Sales_Table[[#This Row],[Revenue]]=0,0,Sales_Table[[#This Row],[Revenue]]/Sales_Table[[#This Row],[Profit]])</f>
        <v>2.8532110091743119</v>
      </c>
    </row>
    <row r="351" spans="1:12" x14ac:dyDescent="0.5">
      <c r="A351" t="s">
        <v>374</v>
      </c>
      <c r="B351">
        <v>1755</v>
      </c>
      <c r="C351">
        <v>495</v>
      </c>
      <c r="D351">
        <v>18</v>
      </c>
      <c r="E351" t="s">
        <v>24</v>
      </c>
      <c r="F351" t="s">
        <v>25</v>
      </c>
      <c r="G351" t="s">
        <v>12</v>
      </c>
      <c r="H351" s="1">
        <v>45466</v>
      </c>
      <c r="I351" t="s">
        <v>375</v>
      </c>
      <c r="J351" t="s">
        <v>34</v>
      </c>
      <c r="K351" t="s">
        <v>62</v>
      </c>
      <c r="L351" s="3">
        <f>IF(Sales_Table[[#This Row],[Revenue]]=0,0,Sales_Table[[#This Row],[Revenue]]/Sales_Table[[#This Row],[Profit]])</f>
        <v>3.5454545454545454</v>
      </c>
    </row>
    <row r="352" spans="1:12" x14ac:dyDescent="0.5">
      <c r="A352" t="s">
        <v>374</v>
      </c>
      <c r="B352">
        <v>8020</v>
      </c>
      <c r="C352">
        <v>3898</v>
      </c>
      <c r="D352">
        <v>20</v>
      </c>
      <c r="E352" t="s">
        <v>10</v>
      </c>
      <c r="F352" t="s">
        <v>11</v>
      </c>
      <c r="G352" t="s">
        <v>32</v>
      </c>
      <c r="H352" s="1">
        <v>45466</v>
      </c>
      <c r="I352" t="s">
        <v>375</v>
      </c>
      <c r="J352" t="s">
        <v>34</v>
      </c>
      <c r="K352" t="s">
        <v>62</v>
      </c>
      <c r="L352" s="3">
        <f>IF(Sales_Table[[#This Row],[Revenue]]=0,0,Sales_Table[[#This Row],[Revenue]]/Sales_Table[[#This Row],[Profit]])</f>
        <v>2.0574653668547973</v>
      </c>
    </row>
    <row r="353" spans="1:12" x14ac:dyDescent="0.5">
      <c r="A353" t="s">
        <v>376</v>
      </c>
      <c r="B353">
        <v>7333</v>
      </c>
      <c r="C353">
        <v>1576</v>
      </c>
      <c r="D353">
        <v>4</v>
      </c>
      <c r="E353" t="s">
        <v>10</v>
      </c>
      <c r="F353" t="s">
        <v>31</v>
      </c>
      <c r="G353" t="s">
        <v>38</v>
      </c>
      <c r="H353" s="1">
        <v>45450</v>
      </c>
      <c r="I353" t="s">
        <v>377</v>
      </c>
      <c r="J353" t="s">
        <v>20</v>
      </c>
      <c r="K353" t="s">
        <v>21</v>
      </c>
      <c r="L353" s="3">
        <f>IF(Sales_Table[[#This Row],[Revenue]]=0,0,Sales_Table[[#This Row],[Revenue]]/Sales_Table[[#This Row],[Profit]])</f>
        <v>4.6529187817258881</v>
      </c>
    </row>
    <row r="354" spans="1:12" x14ac:dyDescent="0.5">
      <c r="A354" t="s">
        <v>378</v>
      </c>
      <c r="B354">
        <v>7690</v>
      </c>
      <c r="C354">
        <v>1134</v>
      </c>
      <c r="D354">
        <v>4</v>
      </c>
      <c r="E354" t="s">
        <v>10</v>
      </c>
      <c r="F354" t="s">
        <v>11</v>
      </c>
      <c r="G354" t="s">
        <v>53</v>
      </c>
      <c r="H354" s="1">
        <v>45212</v>
      </c>
      <c r="I354" t="s">
        <v>379</v>
      </c>
      <c r="J354" t="s">
        <v>20</v>
      </c>
      <c r="K354" t="s">
        <v>56</v>
      </c>
      <c r="L354" s="3">
        <f>IF(Sales_Table[[#This Row],[Revenue]]=0,0,Sales_Table[[#This Row],[Revenue]]/Sales_Table[[#This Row],[Profit]])</f>
        <v>6.7813051146384478</v>
      </c>
    </row>
    <row r="355" spans="1:12" x14ac:dyDescent="0.5">
      <c r="A355" t="s">
        <v>378</v>
      </c>
      <c r="B355">
        <v>912</v>
      </c>
      <c r="C355">
        <v>246</v>
      </c>
      <c r="D355">
        <v>2</v>
      </c>
      <c r="E355" t="s">
        <v>36</v>
      </c>
      <c r="F355" t="s">
        <v>48</v>
      </c>
      <c r="G355" t="s">
        <v>32</v>
      </c>
      <c r="H355" s="1">
        <v>45212</v>
      </c>
      <c r="I355" t="s">
        <v>379</v>
      </c>
      <c r="J355" t="s">
        <v>20</v>
      </c>
      <c r="K355" t="s">
        <v>56</v>
      </c>
      <c r="L355" s="3">
        <f>IF(Sales_Table[[#This Row],[Revenue]]=0,0,Sales_Table[[#This Row],[Revenue]]/Sales_Table[[#This Row],[Profit]])</f>
        <v>3.7073170731707319</v>
      </c>
    </row>
    <row r="356" spans="1:12" x14ac:dyDescent="0.5">
      <c r="A356" t="s">
        <v>380</v>
      </c>
      <c r="B356">
        <v>2791</v>
      </c>
      <c r="C356">
        <v>894</v>
      </c>
      <c r="D356">
        <v>14</v>
      </c>
      <c r="E356" t="s">
        <v>10</v>
      </c>
      <c r="F356" t="s">
        <v>31</v>
      </c>
      <c r="G356" t="s">
        <v>53</v>
      </c>
      <c r="H356" s="1">
        <v>44842</v>
      </c>
      <c r="I356" t="s">
        <v>381</v>
      </c>
      <c r="J356" t="s">
        <v>59</v>
      </c>
      <c r="K356" t="s">
        <v>71</v>
      </c>
      <c r="L356" s="3">
        <f>IF(Sales_Table[[#This Row],[Revenue]]=0,0,Sales_Table[[#This Row],[Revenue]]/Sales_Table[[#This Row],[Profit]])</f>
        <v>3.121923937360179</v>
      </c>
    </row>
    <row r="357" spans="1:12" x14ac:dyDescent="0.5">
      <c r="A357" t="s">
        <v>380</v>
      </c>
      <c r="B357">
        <v>2791</v>
      </c>
      <c r="C357">
        <v>894</v>
      </c>
      <c r="D357">
        <v>14</v>
      </c>
      <c r="E357" t="s">
        <v>10</v>
      </c>
      <c r="F357" t="s">
        <v>31</v>
      </c>
      <c r="G357" t="s">
        <v>53</v>
      </c>
      <c r="H357" s="1">
        <v>45226</v>
      </c>
      <c r="I357" t="s">
        <v>382</v>
      </c>
      <c r="J357" t="s">
        <v>79</v>
      </c>
      <c r="K357" t="s">
        <v>86</v>
      </c>
      <c r="L357" s="3">
        <f>IF(Sales_Table[[#This Row],[Revenue]]=0,0,Sales_Table[[#This Row],[Revenue]]/Sales_Table[[#This Row],[Profit]])</f>
        <v>3.121923937360179</v>
      </c>
    </row>
    <row r="358" spans="1:12" x14ac:dyDescent="0.5">
      <c r="A358" t="s">
        <v>380</v>
      </c>
      <c r="B358">
        <v>2791</v>
      </c>
      <c r="C358">
        <v>894</v>
      </c>
      <c r="D358">
        <v>14</v>
      </c>
      <c r="E358" t="s">
        <v>10</v>
      </c>
      <c r="F358" t="s">
        <v>31</v>
      </c>
      <c r="G358" t="s">
        <v>53</v>
      </c>
      <c r="H358" s="1">
        <v>44236</v>
      </c>
      <c r="I358" t="s">
        <v>383</v>
      </c>
      <c r="J358" t="s">
        <v>59</v>
      </c>
      <c r="K358" t="s">
        <v>60</v>
      </c>
      <c r="L358" s="3">
        <f>IF(Sales_Table[[#This Row],[Revenue]]=0,0,Sales_Table[[#This Row],[Revenue]]/Sales_Table[[#This Row],[Profit]])</f>
        <v>3.121923937360179</v>
      </c>
    </row>
    <row r="359" spans="1:12" x14ac:dyDescent="0.5">
      <c r="A359" t="s">
        <v>380</v>
      </c>
      <c r="B359">
        <v>6223</v>
      </c>
      <c r="C359">
        <v>1478</v>
      </c>
      <c r="D359">
        <v>3</v>
      </c>
      <c r="E359" t="s">
        <v>36</v>
      </c>
      <c r="F359" t="s">
        <v>48</v>
      </c>
      <c r="G359" t="s">
        <v>26</v>
      </c>
      <c r="H359" s="1">
        <v>44842</v>
      </c>
      <c r="I359" t="s">
        <v>381</v>
      </c>
      <c r="J359" t="s">
        <v>59</v>
      </c>
      <c r="K359" t="s">
        <v>71</v>
      </c>
      <c r="L359" s="3">
        <f>IF(Sales_Table[[#This Row],[Revenue]]=0,0,Sales_Table[[#This Row],[Revenue]]/Sales_Table[[#This Row],[Profit]])</f>
        <v>4.2104194857916104</v>
      </c>
    </row>
    <row r="360" spans="1:12" x14ac:dyDescent="0.5">
      <c r="A360" t="s">
        <v>380</v>
      </c>
      <c r="B360">
        <v>6223</v>
      </c>
      <c r="C360">
        <v>1478</v>
      </c>
      <c r="D360">
        <v>3</v>
      </c>
      <c r="E360" t="s">
        <v>36</v>
      </c>
      <c r="F360" t="s">
        <v>48</v>
      </c>
      <c r="G360" t="s">
        <v>26</v>
      </c>
      <c r="H360" s="1">
        <v>45226</v>
      </c>
      <c r="I360" t="s">
        <v>382</v>
      </c>
      <c r="J360" t="s">
        <v>79</v>
      </c>
      <c r="K360" t="s">
        <v>86</v>
      </c>
      <c r="L360" s="3">
        <f>IF(Sales_Table[[#This Row],[Revenue]]=0,0,Sales_Table[[#This Row],[Revenue]]/Sales_Table[[#This Row],[Profit]])</f>
        <v>4.2104194857916104</v>
      </c>
    </row>
    <row r="361" spans="1:12" x14ac:dyDescent="0.5">
      <c r="A361" t="s">
        <v>380</v>
      </c>
      <c r="B361">
        <v>6223</v>
      </c>
      <c r="C361">
        <v>1478</v>
      </c>
      <c r="D361">
        <v>3</v>
      </c>
      <c r="E361" t="s">
        <v>36</v>
      </c>
      <c r="F361" t="s">
        <v>48</v>
      </c>
      <c r="G361" t="s">
        <v>26</v>
      </c>
      <c r="H361" s="1">
        <v>44236</v>
      </c>
      <c r="I361" t="s">
        <v>383</v>
      </c>
      <c r="J361" t="s">
        <v>59</v>
      </c>
      <c r="K361" t="s">
        <v>60</v>
      </c>
      <c r="L361" s="3">
        <f>IF(Sales_Table[[#This Row],[Revenue]]=0,0,Sales_Table[[#This Row],[Revenue]]/Sales_Table[[#This Row],[Profit]])</f>
        <v>4.2104194857916104</v>
      </c>
    </row>
    <row r="362" spans="1:12" x14ac:dyDescent="0.5">
      <c r="A362" t="s">
        <v>380</v>
      </c>
      <c r="B362">
        <v>8943</v>
      </c>
      <c r="C362">
        <v>3121</v>
      </c>
      <c r="D362">
        <v>17</v>
      </c>
      <c r="E362" t="s">
        <v>36</v>
      </c>
      <c r="F362" t="s">
        <v>40</v>
      </c>
      <c r="G362" t="s">
        <v>26</v>
      </c>
      <c r="H362" s="1">
        <v>44842</v>
      </c>
      <c r="I362" t="s">
        <v>381</v>
      </c>
      <c r="J362" t="s">
        <v>59</v>
      </c>
      <c r="K362" t="s">
        <v>71</v>
      </c>
      <c r="L362" s="3">
        <f>IF(Sales_Table[[#This Row],[Revenue]]=0,0,Sales_Table[[#This Row],[Revenue]]/Sales_Table[[#This Row],[Profit]])</f>
        <v>2.8654277475168217</v>
      </c>
    </row>
    <row r="363" spans="1:12" x14ac:dyDescent="0.5">
      <c r="A363" t="s">
        <v>380</v>
      </c>
      <c r="B363">
        <v>8943</v>
      </c>
      <c r="C363">
        <v>3121</v>
      </c>
      <c r="D363">
        <v>17</v>
      </c>
      <c r="E363" t="s">
        <v>36</v>
      </c>
      <c r="F363" t="s">
        <v>40</v>
      </c>
      <c r="G363" t="s">
        <v>26</v>
      </c>
      <c r="H363" s="1">
        <v>45226</v>
      </c>
      <c r="I363" t="s">
        <v>382</v>
      </c>
      <c r="J363" t="s">
        <v>79</v>
      </c>
      <c r="K363" t="s">
        <v>86</v>
      </c>
      <c r="L363" s="3">
        <f>IF(Sales_Table[[#This Row],[Revenue]]=0,0,Sales_Table[[#This Row],[Revenue]]/Sales_Table[[#This Row],[Profit]])</f>
        <v>2.8654277475168217</v>
      </c>
    </row>
    <row r="364" spans="1:12" x14ac:dyDescent="0.5">
      <c r="A364" t="s">
        <v>380</v>
      </c>
      <c r="B364">
        <v>8943</v>
      </c>
      <c r="C364">
        <v>3121</v>
      </c>
      <c r="D364">
        <v>17</v>
      </c>
      <c r="E364" t="s">
        <v>36</v>
      </c>
      <c r="F364" t="s">
        <v>40</v>
      </c>
      <c r="G364" t="s">
        <v>26</v>
      </c>
      <c r="H364" s="1">
        <v>44236</v>
      </c>
      <c r="I364" t="s">
        <v>383</v>
      </c>
      <c r="J364" t="s">
        <v>59</v>
      </c>
      <c r="K364" t="s">
        <v>60</v>
      </c>
      <c r="L364" s="3">
        <f>IF(Sales_Table[[#This Row],[Revenue]]=0,0,Sales_Table[[#This Row],[Revenue]]/Sales_Table[[#This Row],[Profit]])</f>
        <v>2.8654277475168217</v>
      </c>
    </row>
    <row r="365" spans="1:12" x14ac:dyDescent="0.5">
      <c r="A365" t="s">
        <v>380</v>
      </c>
      <c r="B365">
        <v>3297</v>
      </c>
      <c r="C365">
        <v>102</v>
      </c>
      <c r="D365">
        <v>12</v>
      </c>
      <c r="E365" t="s">
        <v>10</v>
      </c>
      <c r="F365" t="s">
        <v>67</v>
      </c>
      <c r="G365" t="s">
        <v>38</v>
      </c>
      <c r="H365" s="1">
        <v>44842</v>
      </c>
      <c r="I365" t="s">
        <v>381</v>
      </c>
      <c r="J365" t="s">
        <v>59</v>
      </c>
      <c r="K365" t="s">
        <v>71</v>
      </c>
      <c r="L365" s="3">
        <f>IF(Sales_Table[[#This Row],[Revenue]]=0,0,Sales_Table[[#This Row],[Revenue]]/Sales_Table[[#This Row],[Profit]])</f>
        <v>32.323529411764703</v>
      </c>
    </row>
    <row r="366" spans="1:12" x14ac:dyDescent="0.5">
      <c r="A366" t="s">
        <v>380</v>
      </c>
      <c r="B366">
        <v>3297</v>
      </c>
      <c r="C366">
        <v>102</v>
      </c>
      <c r="D366">
        <v>12</v>
      </c>
      <c r="E366" t="s">
        <v>10</v>
      </c>
      <c r="F366" t="s">
        <v>67</v>
      </c>
      <c r="G366" t="s">
        <v>38</v>
      </c>
      <c r="H366" s="1">
        <v>45226</v>
      </c>
      <c r="I366" t="s">
        <v>382</v>
      </c>
      <c r="J366" t="s">
        <v>79</v>
      </c>
      <c r="K366" t="s">
        <v>86</v>
      </c>
      <c r="L366" s="3">
        <f>IF(Sales_Table[[#This Row],[Revenue]]=0,0,Sales_Table[[#This Row],[Revenue]]/Sales_Table[[#This Row],[Profit]])</f>
        <v>32.323529411764703</v>
      </c>
    </row>
    <row r="367" spans="1:12" x14ac:dyDescent="0.5">
      <c r="A367" t="s">
        <v>380</v>
      </c>
      <c r="B367">
        <v>3297</v>
      </c>
      <c r="C367">
        <v>102</v>
      </c>
      <c r="D367">
        <v>12</v>
      </c>
      <c r="E367" t="s">
        <v>10</v>
      </c>
      <c r="F367" t="s">
        <v>67</v>
      </c>
      <c r="G367" t="s">
        <v>38</v>
      </c>
      <c r="H367" s="1">
        <v>44236</v>
      </c>
      <c r="I367" t="s">
        <v>383</v>
      </c>
      <c r="J367" t="s">
        <v>59</v>
      </c>
      <c r="K367" t="s">
        <v>60</v>
      </c>
      <c r="L367" s="3">
        <f>IF(Sales_Table[[#This Row],[Revenue]]=0,0,Sales_Table[[#This Row],[Revenue]]/Sales_Table[[#This Row],[Profit]])</f>
        <v>32.323529411764703</v>
      </c>
    </row>
    <row r="368" spans="1:12" x14ac:dyDescent="0.5">
      <c r="A368" t="s">
        <v>384</v>
      </c>
      <c r="B368">
        <v>8769</v>
      </c>
      <c r="C368">
        <v>1989</v>
      </c>
      <c r="D368">
        <v>20</v>
      </c>
      <c r="E368" t="s">
        <v>24</v>
      </c>
      <c r="F368" t="s">
        <v>52</v>
      </c>
      <c r="G368" t="s">
        <v>12</v>
      </c>
      <c r="H368" s="1">
        <v>44138</v>
      </c>
      <c r="I368" t="s">
        <v>385</v>
      </c>
      <c r="J368" t="s">
        <v>17</v>
      </c>
      <c r="K368" t="s">
        <v>18</v>
      </c>
      <c r="L368" s="3">
        <f>IF(Sales_Table[[#This Row],[Revenue]]=0,0,Sales_Table[[#This Row],[Revenue]]/Sales_Table[[#This Row],[Profit]])</f>
        <v>4.4087481146304679</v>
      </c>
    </row>
    <row r="369" spans="1:12" x14ac:dyDescent="0.5">
      <c r="A369" t="s">
        <v>386</v>
      </c>
      <c r="B369">
        <v>9057</v>
      </c>
      <c r="C369">
        <v>1888</v>
      </c>
      <c r="D369">
        <v>19</v>
      </c>
      <c r="E369" t="s">
        <v>10</v>
      </c>
      <c r="F369" t="s">
        <v>22</v>
      </c>
      <c r="G369" t="s">
        <v>53</v>
      </c>
      <c r="H369" s="1">
        <v>44711</v>
      </c>
      <c r="I369" t="s">
        <v>387</v>
      </c>
      <c r="J369" t="s">
        <v>14</v>
      </c>
      <c r="K369" t="s">
        <v>28</v>
      </c>
      <c r="L369" s="3">
        <f>IF(Sales_Table[[#This Row],[Revenue]]=0,0,Sales_Table[[#This Row],[Revenue]]/Sales_Table[[#This Row],[Profit]])</f>
        <v>4.7971398305084749</v>
      </c>
    </row>
    <row r="370" spans="1:12" x14ac:dyDescent="0.5">
      <c r="A370" t="s">
        <v>386</v>
      </c>
      <c r="B370">
        <v>6864</v>
      </c>
      <c r="C370">
        <v>3275</v>
      </c>
      <c r="D370">
        <v>11</v>
      </c>
      <c r="E370" t="s">
        <v>36</v>
      </c>
      <c r="F370" t="s">
        <v>37</v>
      </c>
      <c r="G370" t="s">
        <v>38</v>
      </c>
      <c r="H370" s="1">
        <v>44711</v>
      </c>
      <c r="I370" t="s">
        <v>387</v>
      </c>
      <c r="J370" t="s">
        <v>14</v>
      </c>
      <c r="K370" t="s">
        <v>28</v>
      </c>
      <c r="L370" s="3">
        <f>IF(Sales_Table[[#This Row],[Revenue]]=0,0,Sales_Table[[#This Row],[Revenue]]/Sales_Table[[#This Row],[Profit]])</f>
        <v>2.0958778625954197</v>
      </c>
    </row>
    <row r="371" spans="1:12" x14ac:dyDescent="0.5">
      <c r="A371" t="s">
        <v>386</v>
      </c>
      <c r="B371">
        <v>9200</v>
      </c>
      <c r="C371">
        <v>809</v>
      </c>
      <c r="D371">
        <v>13</v>
      </c>
      <c r="E371" t="s">
        <v>10</v>
      </c>
      <c r="F371" t="s">
        <v>31</v>
      </c>
      <c r="G371" t="s">
        <v>53</v>
      </c>
      <c r="H371" s="1">
        <v>44711</v>
      </c>
      <c r="I371" t="s">
        <v>387</v>
      </c>
      <c r="J371" t="s">
        <v>14</v>
      </c>
      <c r="K371" t="s">
        <v>28</v>
      </c>
      <c r="L371" s="3">
        <f>IF(Sales_Table[[#This Row],[Revenue]]=0,0,Sales_Table[[#This Row],[Revenue]]/Sales_Table[[#This Row],[Profit]])</f>
        <v>11.372064276885043</v>
      </c>
    </row>
    <row r="372" spans="1:12" x14ac:dyDescent="0.5">
      <c r="A372" t="s">
        <v>388</v>
      </c>
      <c r="B372">
        <v>6113</v>
      </c>
      <c r="C372">
        <v>2508</v>
      </c>
      <c r="D372">
        <v>6</v>
      </c>
      <c r="E372" t="s">
        <v>10</v>
      </c>
      <c r="F372" t="s">
        <v>31</v>
      </c>
      <c r="G372" t="s">
        <v>12</v>
      </c>
      <c r="H372" s="1">
        <v>45459</v>
      </c>
      <c r="I372" t="s">
        <v>389</v>
      </c>
      <c r="J372" t="s">
        <v>14</v>
      </c>
      <c r="K372" t="s">
        <v>28</v>
      </c>
      <c r="L372" s="3">
        <f>IF(Sales_Table[[#This Row],[Revenue]]=0,0,Sales_Table[[#This Row],[Revenue]]/Sales_Table[[#This Row],[Profit]])</f>
        <v>2.4374003189792663</v>
      </c>
    </row>
    <row r="373" spans="1:12" x14ac:dyDescent="0.5">
      <c r="A373" t="s">
        <v>388</v>
      </c>
      <c r="B373">
        <v>7733</v>
      </c>
      <c r="C373">
        <v>2784</v>
      </c>
      <c r="D373">
        <v>15</v>
      </c>
      <c r="E373" t="s">
        <v>36</v>
      </c>
      <c r="F373" t="s">
        <v>37</v>
      </c>
      <c r="G373" t="s">
        <v>32</v>
      </c>
      <c r="H373" s="1">
        <v>45459</v>
      </c>
      <c r="I373" t="s">
        <v>389</v>
      </c>
      <c r="J373" t="s">
        <v>14</v>
      </c>
      <c r="K373" t="s">
        <v>28</v>
      </c>
      <c r="L373" s="3">
        <f>IF(Sales_Table[[#This Row],[Revenue]]=0,0,Sales_Table[[#This Row],[Revenue]]/Sales_Table[[#This Row],[Profit]])</f>
        <v>2.7776580459770117</v>
      </c>
    </row>
    <row r="374" spans="1:12" x14ac:dyDescent="0.5">
      <c r="A374" t="s">
        <v>388</v>
      </c>
      <c r="B374">
        <v>8524</v>
      </c>
      <c r="C374">
        <v>154</v>
      </c>
      <c r="D374">
        <v>14</v>
      </c>
      <c r="E374" t="s">
        <v>36</v>
      </c>
      <c r="F374" t="s">
        <v>37</v>
      </c>
      <c r="G374" t="s">
        <v>53</v>
      </c>
      <c r="H374" s="1">
        <v>45459</v>
      </c>
      <c r="I374" t="s">
        <v>389</v>
      </c>
      <c r="J374" t="s">
        <v>14</v>
      </c>
      <c r="K374" t="s">
        <v>28</v>
      </c>
      <c r="L374" s="3">
        <f>IF(Sales_Table[[#This Row],[Revenue]]=0,0,Sales_Table[[#This Row],[Revenue]]/Sales_Table[[#This Row],[Profit]])</f>
        <v>55.350649350649348</v>
      </c>
    </row>
    <row r="375" spans="1:12" x14ac:dyDescent="0.5">
      <c r="A375" t="s">
        <v>388</v>
      </c>
      <c r="B375">
        <v>6187</v>
      </c>
      <c r="C375">
        <v>2344</v>
      </c>
      <c r="D375">
        <v>15</v>
      </c>
      <c r="E375" t="s">
        <v>36</v>
      </c>
      <c r="F375" t="s">
        <v>87</v>
      </c>
      <c r="G375" t="s">
        <v>32</v>
      </c>
      <c r="H375" s="1">
        <v>45459</v>
      </c>
      <c r="I375" t="s">
        <v>389</v>
      </c>
      <c r="J375" t="s">
        <v>14</v>
      </c>
      <c r="K375" t="s">
        <v>28</v>
      </c>
      <c r="L375" s="3">
        <f>IF(Sales_Table[[#This Row],[Revenue]]=0,0,Sales_Table[[#This Row],[Revenue]]/Sales_Table[[#This Row],[Profit]])</f>
        <v>2.6395051194539247</v>
      </c>
    </row>
    <row r="376" spans="1:12" x14ac:dyDescent="0.5">
      <c r="A376" t="s">
        <v>390</v>
      </c>
      <c r="B376">
        <v>4364</v>
      </c>
      <c r="C376">
        <v>148</v>
      </c>
      <c r="D376">
        <v>18</v>
      </c>
      <c r="E376" t="s">
        <v>36</v>
      </c>
      <c r="F376" t="s">
        <v>37</v>
      </c>
      <c r="G376" t="s">
        <v>32</v>
      </c>
      <c r="H376" s="1">
        <v>44757</v>
      </c>
      <c r="I376" t="s">
        <v>391</v>
      </c>
      <c r="J376" t="s">
        <v>79</v>
      </c>
      <c r="K376" t="s">
        <v>86</v>
      </c>
      <c r="L376" s="3">
        <f>IF(Sales_Table[[#This Row],[Revenue]]=0,0,Sales_Table[[#This Row],[Revenue]]/Sales_Table[[#This Row],[Profit]])</f>
        <v>29.486486486486488</v>
      </c>
    </row>
    <row r="377" spans="1:12" x14ac:dyDescent="0.5">
      <c r="A377" t="s">
        <v>390</v>
      </c>
      <c r="B377">
        <v>736</v>
      </c>
      <c r="C377">
        <v>286</v>
      </c>
      <c r="D377">
        <v>12</v>
      </c>
      <c r="E377" t="s">
        <v>24</v>
      </c>
      <c r="F377" t="s">
        <v>25</v>
      </c>
      <c r="G377" t="s">
        <v>32</v>
      </c>
      <c r="H377" s="1">
        <v>44757</v>
      </c>
      <c r="I377" t="s">
        <v>391</v>
      </c>
      <c r="J377" t="s">
        <v>79</v>
      </c>
      <c r="K377" t="s">
        <v>86</v>
      </c>
      <c r="L377" s="3">
        <f>IF(Sales_Table[[#This Row],[Revenue]]=0,0,Sales_Table[[#This Row],[Revenue]]/Sales_Table[[#This Row],[Profit]])</f>
        <v>2.5734265734265733</v>
      </c>
    </row>
    <row r="378" spans="1:12" x14ac:dyDescent="0.5">
      <c r="A378" t="s">
        <v>392</v>
      </c>
      <c r="B378">
        <v>9905</v>
      </c>
      <c r="C378">
        <v>633</v>
      </c>
      <c r="D378">
        <v>17</v>
      </c>
      <c r="E378" t="s">
        <v>24</v>
      </c>
      <c r="F378" t="s">
        <v>25</v>
      </c>
      <c r="G378" t="s">
        <v>32</v>
      </c>
      <c r="H378" s="1">
        <v>44395</v>
      </c>
      <c r="I378" t="s">
        <v>393</v>
      </c>
      <c r="J378" t="s">
        <v>59</v>
      </c>
      <c r="K378" t="s">
        <v>60</v>
      </c>
      <c r="L378" s="3">
        <f>IF(Sales_Table[[#This Row],[Revenue]]=0,0,Sales_Table[[#This Row],[Revenue]]/Sales_Table[[#This Row],[Profit]])</f>
        <v>15.647709320695103</v>
      </c>
    </row>
    <row r="379" spans="1:12" x14ac:dyDescent="0.5">
      <c r="A379" t="s">
        <v>392</v>
      </c>
      <c r="B379">
        <v>9905</v>
      </c>
      <c r="C379">
        <v>633</v>
      </c>
      <c r="D379">
        <v>17</v>
      </c>
      <c r="E379" t="s">
        <v>24</v>
      </c>
      <c r="F379" t="s">
        <v>25</v>
      </c>
      <c r="G379" t="s">
        <v>32</v>
      </c>
      <c r="H379" s="1">
        <v>44471</v>
      </c>
      <c r="I379" t="s">
        <v>394</v>
      </c>
      <c r="J379" t="s">
        <v>14</v>
      </c>
      <c r="K379" t="s">
        <v>118</v>
      </c>
      <c r="L379" s="3">
        <f>IF(Sales_Table[[#This Row],[Revenue]]=0,0,Sales_Table[[#This Row],[Revenue]]/Sales_Table[[#This Row],[Profit]])</f>
        <v>15.647709320695103</v>
      </c>
    </row>
    <row r="380" spans="1:12" x14ac:dyDescent="0.5">
      <c r="A380" t="s">
        <v>395</v>
      </c>
      <c r="B380">
        <v>2493</v>
      </c>
      <c r="C380">
        <v>1221</v>
      </c>
      <c r="D380">
        <v>9</v>
      </c>
      <c r="E380" t="s">
        <v>24</v>
      </c>
      <c r="F380" t="s">
        <v>52</v>
      </c>
      <c r="G380" t="s">
        <v>38</v>
      </c>
      <c r="H380" s="1">
        <v>45398</v>
      </c>
      <c r="I380" t="s">
        <v>396</v>
      </c>
      <c r="J380" t="s">
        <v>17</v>
      </c>
      <c r="K380" t="s">
        <v>51</v>
      </c>
      <c r="L380" s="3">
        <f>IF(Sales_Table[[#This Row],[Revenue]]=0,0,Sales_Table[[#This Row],[Revenue]]/Sales_Table[[#This Row],[Profit]])</f>
        <v>2.0417690417690419</v>
      </c>
    </row>
    <row r="381" spans="1:12" x14ac:dyDescent="0.5">
      <c r="A381" t="s">
        <v>395</v>
      </c>
      <c r="B381">
        <v>9849</v>
      </c>
      <c r="C381">
        <v>963</v>
      </c>
      <c r="D381">
        <v>1</v>
      </c>
      <c r="E381" t="s">
        <v>24</v>
      </c>
      <c r="F381" t="s">
        <v>25</v>
      </c>
      <c r="G381" t="s">
        <v>38</v>
      </c>
      <c r="H381" s="1">
        <v>45398</v>
      </c>
      <c r="I381" t="s">
        <v>396</v>
      </c>
      <c r="J381" t="s">
        <v>17</v>
      </c>
      <c r="K381" t="s">
        <v>51</v>
      </c>
      <c r="L381" s="3">
        <f>IF(Sales_Table[[#This Row],[Revenue]]=0,0,Sales_Table[[#This Row],[Revenue]]/Sales_Table[[#This Row],[Profit]])</f>
        <v>10.227414330218069</v>
      </c>
    </row>
    <row r="382" spans="1:12" x14ac:dyDescent="0.5">
      <c r="A382" t="s">
        <v>397</v>
      </c>
      <c r="B382">
        <v>3423</v>
      </c>
      <c r="C382">
        <v>804</v>
      </c>
      <c r="D382">
        <v>4</v>
      </c>
      <c r="E382" t="s">
        <v>10</v>
      </c>
      <c r="F382" t="s">
        <v>22</v>
      </c>
      <c r="G382" t="s">
        <v>38</v>
      </c>
      <c r="H382" s="1">
        <v>44021</v>
      </c>
      <c r="I382" t="s">
        <v>398</v>
      </c>
      <c r="J382" t="s">
        <v>17</v>
      </c>
      <c r="K382" t="s">
        <v>134</v>
      </c>
      <c r="L382" s="3">
        <f>IF(Sales_Table[[#This Row],[Revenue]]=0,0,Sales_Table[[#This Row],[Revenue]]/Sales_Table[[#This Row],[Profit]])</f>
        <v>4.2574626865671643</v>
      </c>
    </row>
    <row r="383" spans="1:12" x14ac:dyDescent="0.5">
      <c r="A383" t="s">
        <v>397</v>
      </c>
      <c r="B383">
        <v>3423</v>
      </c>
      <c r="C383">
        <v>804</v>
      </c>
      <c r="D383">
        <v>4</v>
      </c>
      <c r="E383" t="s">
        <v>10</v>
      </c>
      <c r="F383" t="s">
        <v>22</v>
      </c>
      <c r="G383" t="s">
        <v>38</v>
      </c>
      <c r="H383" s="1">
        <v>44037</v>
      </c>
      <c r="I383" t="s">
        <v>399</v>
      </c>
      <c r="J383" t="s">
        <v>59</v>
      </c>
      <c r="K383" t="s">
        <v>60</v>
      </c>
      <c r="L383" s="3">
        <f>IF(Sales_Table[[#This Row],[Revenue]]=0,0,Sales_Table[[#This Row],[Revenue]]/Sales_Table[[#This Row],[Profit]])</f>
        <v>4.2574626865671643</v>
      </c>
    </row>
    <row r="384" spans="1:12" x14ac:dyDescent="0.5">
      <c r="A384" t="s">
        <v>397</v>
      </c>
      <c r="B384">
        <v>3423</v>
      </c>
      <c r="C384">
        <v>804</v>
      </c>
      <c r="D384">
        <v>4</v>
      </c>
      <c r="E384" t="s">
        <v>10</v>
      </c>
      <c r="F384" t="s">
        <v>22</v>
      </c>
      <c r="G384" t="s">
        <v>38</v>
      </c>
      <c r="H384" s="1">
        <v>45315</v>
      </c>
      <c r="I384" t="s">
        <v>400</v>
      </c>
      <c r="J384" t="s">
        <v>59</v>
      </c>
      <c r="K384" t="s">
        <v>71</v>
      </c>
      <c r="L384" s="3">
        <f>IF(Sales_Table[[#This Row],[Revenue]]=0,0,Sales_Table[[#This Row],[Revenue]]/Sales_Table[[#This Row],[Profit]])</f>
        <v>4.2574626865671643</v>
      </c>
    </row>
    <row r="385" spans="1:12" x14ac:dyDescent="0.5">
      <c r="A385" t="s">
        <v>397</v>
      </c>
      <c r="B385">
        <v>3423</v>
      </c>
      <c r="C385">
        <v>804</v>
      </c>
      <c r="D385">
        <v>4</v>
      </c>
      <c r="E385" t="s">
        <v>10</v>
      </c>
      <c r="F385" t="s">
        <v>22</v>
      </c>
      <c r="G385" t="s">
        <v>38</v>
      </c>
      <c r="H385" s="1">
        <v>43955</v>
      </c>
      <c r="I385" t="s">
        <v>401</v>
      </c>
      <c r="J385" t="s">
        <v>59</v>
      </c>
      <c r="K385" t="s">
        <v>60</v>
      </c>
      <c r="L385" s="3">
        <f>IF(Sales_Table[[#This Row],[Revenue]]=0,0,Sales_Table[[#This Row],[Revenue]]/Sales_Table[[#This Row],[Profit]])</f>
        <v>4.2574626865671643</v>
      </c>
    </row>
    <row r="386" spans="1:12" x14ac:dyDescent="0.5">
      <c r="A386" t="s">
        <v>397</v>
      </c>
      <c r="B386">
        <v>3423</v>
      </c>
      <c r="C386">
        <v>804</v>
      </c>
      <c r="D386">
        <v>4</v>
      </c>
      <c r="E386" t="s">
        <v>10</v>
      </c>
      <c r="F386" t="s">
        <v>22</v>
      </c>
      <c r="G386" t="s">
        <v>38</v>
      </c>
      <c r="H386" s="1">
        <v>44513</v>
      </c>
      <c r="I386" t="s">
        <v>402</v>
      </c>
      <c r="J386" t="s">
        <v>79</v>
      </c>
      <c r="K386" t="s">
        <v>86</v>
      </c>
      <c r="L386" s="3">
        <f>IF(Sales_Table[[#This Row],[Revenue]]=0,0,Sales_Table[[#This Row],[Revenue]]/Sales_Table[[#This Row],[Profit]])</f>
        <v>4.2574626865671643</v>
      </c>
    </row>
    <row r="387" spans="1:12" x14ac:dyDescent="0.5">
      <c r="A387" t="s">
        <v>403</v>
      </c>
      <c r="B387">
        <v>3900</v>
      </c>
      <c r="C387">
        <v>115</v>
      </c>
      <c r="D387">
        <v>9</v>
      </c>
      <c r="E387" t="s">
        <v>36</v>
      </c>
      <c r="F387" t="s">
        <v>40</v>
      </c>
      <c r="G387" t="s">
        <v>53</v>
      </c>
      <c r="H387" s="1">
        <v>45206</v>
      </c>
      <c r="I387" t="s">
        <v>404</v>
      </c>
      <c r="J387" t="s">
        <v>17</v>
      </c>
      <c r="K387" t="s">
        <v>51</v>
      </c>
      <c r="L387" s="3">
        <f>IF(Sales_Table[[#This Row],[Revenue]]=0,0,Sales_Table[[#This Row],[Revenue]]/Sales_Table[[#This Row],[Profit]])</f>
        <v>33.913043478260867</v>
      </c>
    </row>
    <row r="388" spans="1:12" x14ac:dyDescent="0.5">
      <c r="A388" t="s">
        <v>405</v>
      </c>
      <c r="B388">
        <v>8568</v>
      </c>
      <c r="C388">
        <v>2419</v>
      </c>
      <c r="D388">
        <v>11</v>
      </c>
      <c r="E388" t="s">
        <v>10</v>
      </c>
      <c r="F388" t="s">
        <v>11</v>
      </c>
      <c r="G388" t="s">
        <v>12</v>
      </c>
      <c r="H388" s="1">
        <v>44492</v>
      </c>
      <c r="I388" t="s">
        <v>406</v>
      </c>
      <c r="J388" t="s">
        <v>20</v>
      </c>
      <c r="K388" t="s">
        <v>56</v>
      </c>
      <c r="L388" s="3">
        <f>IF(Sales_Table[[#This Row],[Revenue]]=0,0,Sales_Table[[#This Row],[Revenue]]/Sales_Table[[#This Row],[Profit]])</f>
        <v>3.5419594873914839</v>
      </c>
    </row>
    <row r="389" spans="1:12" x14ac:dyDescent="0.5">
      <c r="A389" t="s">
        <v>405</v>
      </c>
      <c r="B389">
        <v>3283</v>
      </c>
      <c r="C389">
        <v>71</v>
      </c>
      <c r="D389">
        <v>6</v>
      </c>
      <c r="E389" t="s">
        <v>24</v>
      </c>
      <c r="F389" t="s">
        <v>25</v>
      </c>
      <c r="G389" t="s">
        <v>32</v>
      </c>
      <c r="H389" s="1">
        <v>44492</v>
      </c>
      <c r="I389" t="s">
        <v>406</v>
      </c>
      <c r="J389" t="s">
        <v>20</v>
      </c>
      <c r="K389" t="s">
        <v>56</v>
      </c>
      <c r="L389" s="3">
        <f>IF(Sales_Table[[#This Row],[Revenue]]=0,0,Sales_Table[[#This Row],[Revenue]]/Sales_Table[[#This Row],[Profit]])</f>
        <v>46.239436619718312</v>
      </c>
    </row>
    <row r="390" spans="1:12" x14ac:dyDescent="0.5">
      <c r="A390" t="s">
        <v>407</v>
      </c>
      <c r="B390">
        <v>7643</v>
      </c>
      <c r="C390">
        <v>3720</v>
      </c>
      <c r="D390">
        <v>19</v>
      </c>
      <c r="E390" t="s">
        <v>10</v>
      </c>
      <c r="F390" t="s">
        <v>11</v>
      </c>
      <c r="G390" t="s">
        <v>32</v>
      </c>
      <c r="H390" s="1">
        <v>44760</v>
      </c>
      <c r="I390" t="s">
        <v>408</v>
      </c>
      <c r="J390" t="s">
        <v>59</v>
      </c>
      <c r="K390" t="s">
        <v>60</v>
      </c>
      <c r="L390" s="3">
        <f>IF(Sales_Table[[#This Row],[Revenue]]=0,0,Sales_Table[[#This Row],[Revenue]]/Sales_Table[[#This Row],[Profit]])</f>
        <v>2.0545698924731184</v>
      </c>
    </row>
    <row r="391" spans="1:12" x14ac:dyDescent="0.5">
      <c r="A391" t="s">
        <v>409</v>
      </c>
      <c r="B391">
        <v>3461</v>
      </c>
      <c r="C391">
        <v>1537</v>
      </c>
      <c r="D391">
        <v>15</v>
      </c>
      <c r="E391" t="s">
        <v>36</v>
      </c>
      <c r="F391" t="s">
        <v>48</v>
      </c>
      <c r="G391" t="s">
        <v>32</v>
      </c>
      <c r="H391" s="1">
        <v>45527</v>
      </c>
      <c r="I391" t="s">
        <v>410</v>
      </c>
      <c r="J391" t="s">
        <v>17</v>
      </c>
      <c r="K391" t="s">
        <v>18</v>
      </c>
      <c r="L391" s="3">
        <f>IF(Sales_Table[[#This Row],[Revenue]]=0,0,Sales_Table[[#This Row],[Revenue]]/Sales_Table[[#This Row],[Profit]])</f>
        <v>2.2517891997397528</v>
      </c>
    </row>
    <row r="392" spans="1:12" x14ac:dyDescent="0.5">
      <c r="A392" t="s">
        <v>409</v>
      </c>
      <c r="B392">
        <v>5714</v>
      </c>
      <c r="C392">
        <v>1438</v>
      </c>
      <c r="D392">
        <v>6</v>
      </c>
      <c r="E392" t="s">
        <v>10</v>
      </c>
      <c r="F392" t="s">
        <v>11</v>
      </c>
      <c r="G392" t="s">
        <v>38</v>
      </c>
      <c r="H392" s="1">
        <v>45527</v>
      </c>
      <c r="I392" t="s">
        <v>410</v>
      </c>
      <c r="J392" t="s">
        <v>17</v>
      </c>
      <c r="K392" t="s">
        <v>18</v>
      </c>
      <c r="L392" s="3">
        <f>IF(Sales_Table[[#This Row],[Revenue]]=0,0,Sales_Table[[#This Row],[Revenue]]/Sales_Table[[#This Row],[Profit]])</f>
        <v>3.9735744089012517</v>
      </c>
    </row>
    <row r="393" spans="1:12" x14ac:dyDescent="0.5">
      <c r="A393" t="s">
        <v>409</v>
      </c>
      <c r="B393">
        <v>3853</v>
      </c>
      <c r="C393">
        <v>1457</v>
      </c>
      <c r="D393">
        <v>10</v>
      </c>
      <c r="E393" t="s">
        <v>24</v>
      </c>
      <c r="F393" t="s">
        <v>64</v>
      </c>
      <c r="G393" t="s">
        <v>53</v>
      </c>
      <c r="H393" s="1">
        <v>45527</v>
      </c>
      <c r="I393" t="s">
        <v>410</v>
      </c>
      <c r="J393" t="s">
        <v>17</v>
      </c>
      <c r="K393" t="s">
        <v>18</v>
      </c>
      <c r="L393" s="3">
        <f>IF(Sales_Table[[#This Row],[Revenue]]=0,0,Sales_Table[[#This Row],[Revenue]]/Sales_Table[[#This Row],[Profit]])</f>
        <v>2.644474948524365</v>
      </c>
    </row>
    <row r="394" spans="1:12" x14ac:dyDescent="0.5">
      <c r="A394" t="s">
        <v>411</v>
      </c>
      <c r="B394">
        <v>6016</v>
      </c>
      <c r="C394">
        <v>431</v>
      </c>
      <c r="D394">
        <v>20</v>
      </c>
      <c r="E394" t="s">
        <v>24</v>
      </c>
      <c r="F394" t="s">
        <v>25</v>
      </c>
      <c r="G394" t="s">
        <v>12</v>
      </c>
      <c r="H394" s="1">
        <v>44132</v>
      </c>
      <c r="I394" t="s">
        <v>412</v>
      </c>
      <c r="J394" t="s">
        <v>17</v>
      </c>
      <c r="K394" t="s">
        <v>18</v>
      </c>
      <c r="L394" s="3">
        <f>IF(Sales_Table[[#This Row],[Revenue]]=0,0,Sales_Table[[#This Row],[Revenue]]/Sales_Table[[#This Row],[Profit]])</f>
        <v>13.958236658932714</v>
      </c>
    </row>
    <row r="395" spans="1:12" x14ac:dyDescent="0.5">
      <c r="A395" t="s">
        <v>413</v>
      </c>
      <c r="B395">
        <v>1290</v>
      </c>
      <c r="C395">
        <v>204</v>
      </c>
      <c r="D395">
        <v>12</v>
      </c>
      <c r="E395" t="s">
        <v>24</v>
      </c>
      <c r="F395" t="s">
        <v>46</v>
      </c>
      <c r="G395" t="s">
        <v>12</v>
      </c>
      <c r="H395" s="1">
        <v>45458</v>
      </c>
      <c r="I395" t="s">
        <v>414</v>
      </c>
      <c r="J395" t="s">
        <v>20</v>
      </c>
      <c r="K395" t="s">
        <v>21</v>
      </c>
      <c r="L395" s="3">
        <f>IF(Sales_Table[[#This Row],[Revenue]]=0,0,Sales_Table[[#This Row],[Revenue]]/Sales_Table[[#This Row],[Profit]])</f>
        <v>6.3235294117647056</v>
      </c>
    </row>
    <row r="396" spans="1:12" x14ac:dyDescent="0.5">
      <c r="A396" t="s">
        <v>413</v>
      </c>
      <c r="B396">
        <v>1290</v>
      </c>
      <c r="C396">
        <v>204</v>
      </c>
      <c r="D396">
        <v>12</v>
      </c>
      <c r="E396" t="s">
        <v>24</v>
      </c>
      <c r="F396" t="s">
        <v>46</v>
      </c>
      <c r="G396" t="s">
        <v>12</v>
      </c>
      <c r="H396" s="1">
        <v>45645</v>
      </c>
      <c r="I396" t="s">
        <v>415</v>
      </c>
      <c r="J396" t="s">
        <v>34</v>
      </c>
      <c r="K396" t="s">
        <v>75</v>
      </c>
      <c r="L396" s="3">
        <f>IF(Sales_Table[[#This Row],[Revenue]]=0,0,Sales_Table[[#This Row],[Revenue]]/Sales_Table[[#This Row],[Profit]])</f>
        <v>6.3235294117647056</v>
      </c>
    </row>
    <row r="397" spans="1:12" x14ac:dyDescent="0.5">
      <c r="A397" t="s">
        <v>416</v>
      </c>
      <c r="B397">
        <v>4569</v>
      </c>
      <c r="C397">
        <v>1693</v>
      </c>
      <c r="D397">
        <v>10</v>
      </c>
      <c r="E397" t="s">
        <v>10</v>
      </c>
      <c r="F397" t="s">
        <v>22</v>
      </c>
      <c r="G397" t="s">
        <v>12</v>
      </c>
      <c r="H397" s="1">
        <v>44078</v>
      </c>
      <c r="I397" t="s">
        <v>417</v>
      </c>
      <c r="J397" t="s">
        <v>17</v>
      </c>
      <c r="K397" t="s">
        <v>51</v>
      </c>
      <c r="L397" s="3">
        <f>IF(Sales_Table[[#This Row],[Revenue]]=0,0,Sales_Table[[#This Row],[Revenue]]/Sales_Table[[#This Row],[Profit]])</f>
        <v>2.6987595983461312</v>
      </c>
    </row>
    <row r="398" spans="1:12" x14ac:dyDescent="0.5">
      <c r="A398" t="s">
        <v>418</v>
      </c>
      <c r="B398">
        <v>3083</v>
      </c>
      <c r="C398">
        <v>1151</v>
      </c>
      <c r="D398">
        <v>16</v>
      </c>
      <c r="E398" t="s">
        <v>36</v>
      </c>
      <c r="F398" t="s">
        <v>87</v>
      </c>
      <c r="G398" t="s">
        <v>26</v>
      </c>
      <c r="H398" s="1">
        <v>44667</v>
      </c>
      <c r="I398" t="s">
        <v>419</v>
      </c>
      <c r="J398" t="s">
        <v>14</v>
      </c>
      <c r="K398" t="s">
        <v>28</v>
      </c>
      <c r="L398" s="3">
        <f>IF(Sales_Table[[#This Row],[Revenue]]=0,0,Sales_Table[[#This Row],[Revenue]]/Sales_Table[[#This Row],[Profit]])</f>
        <v>2.6785403996524759</v>
      </c>
    </row>
    <row r="399" spans="1:12" x14ac:dyDescent="0.5">
      <c r="A399" t="s">
        <v>420</v>
      </c>
      <c r="B399">
        <v>3522</v>
      </c>
      <c r="C399">
        <v>898</v>
      </c>
      <c r="D399">
        <v>15</v>
      </c>
      <c r="E399" t="s">
        <v>24</v>
      </c>
      <c r="F399" t="s">
        <v>25</v>
      </c>
      <c r="G399" t="s">
        <v>38</v>
      </c>
      <c r="H399" s="1">
        <v>45533</v>
      </c>
      <c r="I399" t="s">
        <v>421</v>
      </c>
      <c r="J399" t="s">
        <v>79</v>
      </c>
      <c r="K399" t="s">
        <v>94</v>
      </c>
      <c r="L399" s="3">
        <f>IF(Sales_Table[[#This Row],[Revenue]]=0,0,Sales_Table[[#This Row],[Revenue]]/Sales_Table[[#This Row],[Profit]])</f>
        <v>3.9220489977728286</v>
      </c>
    </row>
    <row r="400" spans="1:12" x14ac:dyDescent="0.5">
      <c r="A400" t="s">
        <v>420</v>
      </c>
      <c r="B400">
        <v>3522</v>
      </c>
      <c r="C400">
        <v>898</v>
      </c>
      <c r="D400">
        <v>15</v>
      </c>
      <c r="E400" t="s">
        <v>24</v>
      </c>
      <c r="F400" t="s">
        <v>25</v>
      </c>
      <c r="G400" t="s">
        <v>38</v>
      </c>
      <c r="H400" s="1">
        <v>44575</v>
      </c>
      <c r="I400" t="s">
        <v>422</v>
      </c>
      <c r="J400" t="s">
        <v>34</v>
      </c>
      <c r="K400" t="s">
        <v>35</v>
      </c>
      <c r="L400" s="3">
        <f>IF(Sales_Table[[#This Row],[Revenue]]=0,0,Sales_Table[[#This Row],[Revenue]]/Sales_Table[[#This Row],[Profit]])</f>
        <v>3.9220489977728286</v>
      </c>
    </row>
    <row r="401" spans="1:12" x14ac:dyDescent="0.5">
      <c r="A401" t="s">
        <v>423</v>
      </c>
      <c r="B401">
        <v>7301</v>
      </c>
      <c r="C401">
        <v>3602</v>
      </c>
      <c r="D401">
        <v>3</v>
      </c>
      <c r="E401" t="s">
        <v>24</v>
      </c>
      <c r="F401" t="s">
        <v>64</v>
      </c>
      <c r="G401" t="s">
        <v>26</v>
      </c>
      <c r="H401" s="1">
        <v>45389</v>
      </c>
      <c r="I401" t="s">
        <v>424</v>
      </c>
      <c r="J401" t="s">
        <v>59</v>
      </c>
      <c r="K401" t="s">
        <v>108</v>
      </c>
      <c r="L401" s="3">
        <f>IF(Sales_Table[[#This Row],[Revenue]]=0,0,Sales_Table[[#This Row],[Revenue]]/Sales_Table[[#This Row],[Profit]])</f>
        <v>2.026929483620211</v>
      </c>
    </row>
    <row r="402" spans="1:12" x14ac:dyDescent="0.5">
      <c r="A402" t="s">
        <v>425</v>
      </c>
      <c r="B402">
        <v>4462</v>
      </c>
      <c r="C402">
        <v>121</v>
      </c>
      <c r="D402">
        <v>8</v>
      </c>
      <c r="E402" t="s">
        <v>10</v>
      </c>
      <c r="F402" t="s">
        <v>31</v>
      </c>
      <c r="G402" t="s">
        <v>53</v>
      </c>
      <c r="H402" s="1">
        <v>44675</v>
      </c>
      <c r="I402" t="s">
        <v>426</v>
      </c>
      <c r="J402" t="s">
        <v>17</v>
      </c>
      <c r="K402" t="s">
        <v>51</v>
      </c>
      <c r="L402" s="3">
        <f>IF(Sales_Table[[#This Row],[Revenue]]=0,0,Sales_Table[[#This Row],[Revenue]]/Sales_Table[[#This Row],[Profit]])</f>
        <v>36.876033057851238</v>
      </c>
    </row>
    <row r="403" spans="1:12" x14ac:dyDescent="0.5">
      <c r="A403" t="s">
        <v>425</v>
      </c>
      <c r="B403">
        <v>6212</v>
      </c>
      <c r="C403">
        <v>1881</v>
      </c>
      <c r="D403">
        <v>17</v>
      </c>
      <c r="E403" t="s">
        <v>10</v>
      </c>
      <c r="F403" t="s">
        <v>67</v>
      </c>
      <c r="G403" t="s">
        <v>53</v>
      </c>
      <c r="H403" s="1">
        <v>44675</v>
      </c>
      <c r="I403" t="s">
        <v>426</v>
      </c>
      <c r="J403" t="s">
        <v>17</v>
      </c>
      <c r="K403" t="s">
        <v>51</v>
      </c>
      <c r="L403" s="3">
        <f>IF(Sales_Table[[#This Row],[Revenue]]=0,0,Sales_Table[[#This Row],[Revenue]]/Sales_Table[[#This Row],[Profit]])</f>
        <v>3.3024986709197237</v>
      </c>
    </row>
    <row r="404" spans="1:12" x14ac:dyDescent="0.5">
      <c r="A404" t="s">
        <v>427</v>
      </c>
      <c r="B404">
        <v>4027</v>
      </c>
      <c r="C404">
        <v>1386</v>
      </c>
      <c r="D404">
        <v>3</v>
      </c>
      <c r="E404" t="s">
        <v>36</v>
      </c>
      <c r="F404" t="s">
        <v>87</v>
      </c>
      <c r="G404" t="s">
        <v>32</v>
      </c>
      <c r="H404" s="1">
        <v>44070</v>
      </c>
      <c r="I404" t="s">
        <v>428</v>
      </c>
      <c r="J404" t="s">
        <v>14</v>
      </c>
      <c r="K404" t="s">
        <v>118</v>
      </c>
      <c r="L404" s="3">
        <f>IF(Sales_Table[[#This Row],[Revenue]]=0,0,Sales_Table[[#This Row],[Revenue]]/Sales_Table[[#This Row],[Profit]])</f>
        <v>2.9054834054834053</v>
      </c>
    </row>
    <row r="405" spans="1:12" x14ac:dyDescent="0.5">
      <c r="A405" t="s">
        <v>429</v>
      </c>
      <c r="B405">
        <v>1676</v>
      </c>
      <c r="C405">
        <v>330</v>
      </c>
      <c r="D405">
        <v>14</v>
      </c>
      <c r="E405" t="s">
        <v>10</v>
      </c>
      <c r="F405" t="s">
        <v>31</v>
      </c>
      <c r="G405" t="s">
        <v>32</v>
      </c>
      <c r="H405" s="1">
        <v>44986</v>
      </c>
      <c r="I405" t="s">
        <v>430</v>
      </c>
      <c r="J405" t="s">
        <v>79</v>
      </c>
      <c r="K405" t="s">
        <v>94</v>
      </c>
      <c r="L405" s="3">
        <f>IF(Sales_Table[[#This Row],[Revenue]]=0,0,Sales_Table[[#This Row],[Revenue]]/Sales_Table[[#This Row],[Profit]])</f>
        <v>5.0787878787878791</v>
      </c>
    </row>
    <row r="406" spans="1:12" x14ac:dyDescent="0.5">
      <c r="A406" t="s">
        <v>429</v>
      </c>
      <c r="B406">
        <v>3927</v>
      </c>
      <c r="C406">
        <v>1133</v>
      </c>
      <c r="D406">
        <v>12</v>
      </c>
      <c r="E406" t="s">
        <v>36</v>
      </c>
      <c r="F406" t="s">
        <v>87</v>
      </c>
      <c r="G406" t="s">
        <v>53</v>
      </c>
      <c r="H406" s="1">
        <v>44986</v>
      </c>
      <c r="I406" t="s">
        <v>430</v>
      </c>
      <c r="J406" t="s">
        <v>79</v>
      </c>
      <c r="K406" t="s">
        <v>94</v>
      </c>
      <c r="L406" s="3">
        <f>IF(Sales_Table[[#This Row],[Revenue]]=0,0,Sales_Table[[#This Row],[Revenue]]/Sales_Table[[#This Row],[Profit]])</f>
        <v>3.4660194174757279</v>
      </c>
    </row>
    <row r="407" spans="1:12" x14ac:dyDescent="0.5">
      <c r="A407" t="s">
        <v>429</v>
      </c>
      <c r="B407">
        <v>2776</v>
      </c>
      <c r="C407">
        <v>887</v>
      </c>
      <c r="D407">
        <v>9</v>
      </c>
      <c r="E407" t="s">
        <v>10</v>
      </c>
      <c r="F407" t="s">
        <v>67</v>
      </c>
      <c r="G407" t="s">
        <v>26</v>
      </c>
      <c r="H407" s="1">
        <v>44986</v>
      </c>
      <c r="I407" t="s">
        <v>430</v>
      </c>
      <c r="J407" t="s">
        <v>79</v>
      </c>
      <c r="K407" t="s">
        <v>94</v>
      </c>
      <c r="L407" s="3">
        <f>IF(Sales_Table[[#This Row],[Revenue]]=0,0,Sales_Table[[#This Row],[Revenue]]/Sales_Table[[#This Row],[Profit]])</f>
        <v>3.1296505073280723</v>
      </c>
    </row>
    <row r="408" spans="1:12" x14ac:dyDescent="0.5">
      <c r="A408" t="s">
        <v>431</v>
      </c>
      <c r="B408">
        <v>7684</v>
      </c>
      <c r="C408">
        <v>1157</v>
      </c>
      <c r="D408">
        <v>12</v>
      </c>
      <c r="E408" t="s">
        <v>36</v>
      </c>
      <c r="F408" t="s">
        <v>48</v>
      </c>
      <c r="G408" t="s">
        <v>53</v>
      </c>
      <c r="H408" s="1">
        <v>44106</v>
      </c>
      <c r="I408" t="s">
        <v>432</v>
      </c>
      <c r="J408" t="s">
        <v>17</v>
      </c>
      <c r="K408" t="s">
        <v>18</v>
      </c>
      <c r="L408" s="3">
        <f>IF(Sales_Table[[#This Row],[Revenue]]=0,0,Sales_Table[[#This Row],[Revenue]]/Sales_Table[[#This Row],[Profit]])</f>
        <v>6.6413137424373376</v>
      </c>
    </row>
    <row r="409" spans="1:12" x14ac:dyDescent="0.5">
      <c r="A409" t="s">
        <v>431</v>
      </c>
      <c r="B409">
        <v>7684</v>
      </c>
      <c r="C409">
        <v>1157</v>
      </c>
      <c r="D409">
        <v>12</v>
      </c>
      <c r="E409" t="s">
        <v>36</v>
      </c>
      <c r="F409" t="s">
        <v>48</v>
      </c>
      <c r="G409" t="s">
        <v>53</v>
      </c>
      <c r="H409" s="1">
        <v>44005</v>
      </c>
      <c r="I409" t="s">
        <v>433</v>
      </c>
      <c r="J409" t="s">
        <v>20</v>
      </c>
      <c r="K409" t="s">
        <v>21</v>
      </c>
      <c r="L409" s="3">
        <f>IF(Sales_Table[[#This Row],[Revenue]]=0,0,Sales_Table[[#This Row],[Revenue]]/Sales_Table[[#This Row],[Profit]])</f>
        <v>6.6413137424373376</v>
      </c>
    </row>
    <row r="410" spans="1:12" x14ac:dyDescent="0.5">
      <c r="A410" t="s">
        <v>431</v>
      </c>
      <c r="B410">
        <v>7684</v>
      </c>
      <c r="C410">
        <v>1157</v>
      </c>
      <c r="D410">
        <v>12</v>
      </c>
      <c r="E410" t="s">
        <v>36</v>
      </c>
      <c r="F410" t="s">
        <v>48</v>
      </c>
      <c r="G410" t="s">
        <v>53</v>
      </c>
      <c r="H410" s="1">
        <v>45159</v>
      </c>
      <c r="I410" t="s">
        <v>434</v>
      </c>
      <c r="J410" t="s">
        <v>79</v>
      </c>
      <c r="K410" t="s">
        <v>80</v>
      </c>
      <c r="L410" s="3">
        <f>IF(Sales_Table[[#This Row],[Revenue]]=0,0,Sales_Table[[#This Row],[Revenue]]/Sales_Table[[#This Row],[Profit]])</f>
        <v>6.6413137424373376</v>
      </c>
    </row>
    <row r="411" spans="1:12" x14ac:dyDescent="0.5">
      <c r="A411" t="s">
        <v>435</v>
      </c>
      <c r="B411">
        <v>6008</v>
      </c>
      <c r="C411">
        <v>2498</v>
      </c>
      <c r="D411">
        <v>17</v>
      </c>
      <c r="E411" t="s">
        <v>10</v>
      </c>
      <c r="F411" t="s">
        <v>67</v>
      </c>
      <c r="G411" t="s">
        <v>38</v>
      </c>
      <c r="H411" s="1">
        <v>44758</v>
      </c>
      <c r="I411" t="s">
        <v>436</v>
      </c>
      <c r="J411" t="s">
        <v>14</v>
      </c>
      <c r="K411" t="s">
        <v>15</v>
      </c>
      <c r="L411" s="3">
        <f>IF(Sales_Table[[#This Row],[Revenue]]=0,0,Sales_Table[[#This Row],[Revenue]]/Sales_Table[[#This Row],[Profit]])</f>
        <v>2.4051240992794236</v>
      </c>
    </row>
    <row r="412" spans="1:12" x14ac:dyDescent="0.5">
      <c r="A412" t="s">
        <v>437</v>
      </c>
      <c r="B412">
        <v>7344</v>
      </c>
      <c r="C412">
        <v>2598</v>
      </c>
      <c r="D412">
        <v>20</v>
      </c>
      <c r="E412" t="s">
        <v>36</v>
      </c>
      <c r="F412" t="s">
        <v>87</v>
      </c>
      <c r="G412" t="s">
        <v>53</v>
      </c>
      <c r="H412" s="1">
        <v>44774</v>
      </c>
      <c r="I412" t="s">
        <v>438</v>
      </c>
      <c r="J412" t="s">
        <v>59</v>
      </c>
      <c r="K412" t="s">
        <v>60</v>
      </c>
      <c r="L412" s="3">
        <f>IF(Sales_Table[[#This Row],[Revenue]]=0,0,Sales_Table[[#This Row],[Revenue]]/Sales_Table[[#This Row],[Profit]])</f>
        <v>2.8267898383371826</v>
      </c>
    </row>
    <row r="413" spans="1:12" x14ac:dyDescent="0.5">
      <c r="A413" t="s">
        <v>439</v>
      </c>
      <c r="B413">
        <v>6932</v>
      </c>
      <c r="C413">
        <v>3218</v>
      </c>
      <c r="D413">
        <v>20</v>
      </c>
      <c r="E413" t="s">
        <v>24</v>
      </c>
      <c r="F413" t="s">
        <v>25</v>
      </c>
      <c r="G413" t="s">
        <v>53</v>
      </c>
      <c r="H413" s="1">
        <v>44028</v>
      </c>
      <c r="I413" t="s">
        <v>440</v>
      </c>
      <c r="J413" t="s">
        <v>14</v>
      </c>
      <c r="K413" t="s">
        <v>28</v>
      </c>
      <c r="L413" s="3">
        <f>IF(Sales_Table[[#This Row],[Revenue]]=0,0,Sales_Table[[#This Row],[Revenue]]/Sales_Table[[#This Row],[Profit]])</f>
        <v>2.154133001864512</v>
      </c>
    </row>
    <row r="414" spans="1:12" x14ac:dyDescent="0.5">
      <c r="A414" t="s">
        <v>441</v>
      </c>
      <c r="B414">
        <v>7748</v>
      </c>
      <c r="C414">
        <v>1706</v>
      </c>
      <c r="D414">
        <v>16</v>
      </c>
      <c r="E414" t="s">
        <v>10</v>
      </c>
      <c r="F414" t="s">
        <v>11</v>
      </c>
      <c r="G414" t="s">
        <v>32</v>
      </c>
      <c r="H414" s="1">
        <v>43953</v>
      </c>
      <c r="I414" t="s">
        <v>442</v>
      </c>
      <c r="J414" t="s">
        <v>79</v>
      </c>
      <c r="K414" t="s">
        <v>86</v>
      </c>
      <c r="L414" s="3">
        <f>IF(Sales_Table[[#This Row],[Revenue]]=0,0,Sales_Table[[#This Row],[Revenue]]/Sales_Table[[#This Row],[Profit]])</f>
        <v>4.5416178194607273</v>
      </c>
    </row>
    <row r="415" spans="1:12" x14ac:dyDescent="0.5">
      <c r="A415" t="s">
        <v>441</v>
      </c>
      <c r="B415">
        <v>6381</v>
      </c>
      <c r="C415">
        <v>2763</v>
      </c>
      <c r="D415">
        <v>20</v>
      </c>
      <c r="E415" t="s">
        <v>24</v>
      </c>
      <c r="F415" t="s">
        <v>46</v>
      </c>
      <c r="G415" t="s">
        <v>12</v>
      </c>
      <c r="H415" s="1">
        <v>43953</v>
      </c>
      <c r="I415" t="s">
        <v>442</v>
      </c>
      <c r="J415" t="s">
        <v>79</v>
      </c>
      <c r="K415" t="s">
        <v>86</v>
      </c>
      <c r="L415" s="3">
        <f>IF(Sales_Table[[#This Row],[Revenue]]=0,0,Sales_Table[[#This Row],[Revenue]]/Sales_Table[[#This Row],[Profit]])</f>
        <v>2.3094462540716614</v>
      </c>
    </row>
    <row r="416" spans="1:12" x14ac:dyDescent="0.5">
      <c r="A416" t="s">
        <v>441</v>
      </c>
      <c r="B416">
        <v>992</v>
      </c>
      <c r="C416">
        <v>64</v>
      </c>
      <c r="D416">
        <v>6</v>
      </c>
      <c r="E416" t="s">
        <v>10</v>
      </c>
      <c r="F416" t="s">
        <v>67</v>
      </c>
      <c r="G416" t="s">
        <v>38</v>
      </c>
      <c r="H416" s="1">
        <v>43953</v>
      </c>
      <c r="I416" t="s">
        <v>442</v>
      </c>
      <c r="J416" t="s">
        <v>79</v>
      </c>
      <c r="K416" t="s">
        <v>86</v>
      </c>
      <c r="L416" s="3">
        <f>IF(Sales_Table[[#This Row],[Revenue]]=0,0,Sales_Table[[#This Row],[Revenue]]/Sales_Table[[#This Row],[Profit]])</f>
        <v>15.5</v>
      </c>
    </row>
    <row r="417" spans="1:12" x14ac:dyDescent="0.5">
      <c r="A417" t="s">
        <v>443</v>
      </c>
      <c r="B417">
        <v>8649</v>
      </c>
      <c r="C417">
        <v>2631</v>
      </c>
      <c r="D417">
        <v>13</v>
      </c>
      <c r="E417" t="s">
        <v>10</v>
      </c>
      <c r="F417" t="s">
        <v>31</v>
      </c>
      <c r="G417" t="s">
        <v>32</v>
      </c>
      <c r="H417" s="1">
        <v>45301</v>
      </c>
      <c r="I417" t="s">
        <v>444</v>
      </c>
      <c r="J417" t="s">
        <v>34</v>
      </c>
      <c r="K417" t="s">
        <v>75</v>
      </c>
      <c r="L417" s="3">
        <f>IF(Sales_Table[[#This Row],[Revenue]]=0,0,Sales_Table[[#This Row],[Revenue]]/Sales_Table[[#This Row],[Profit]])</f>
        <v>3.2873432155074118</v>
      </c>
    </row>
    <row r="418" spans="1:12" x14ac:dyDescent="0.5">
      <c r="A418" t="s">
        <v>443</v>
      </c>
      <c r="B418">
        <v>8649</v>
      </c>
      <c r="C418">
        <v>2631</v>
      </c>
      <c r="D418">
        <v>13</v>
      </c>
      <c r="E418" t="s">
        <v>10</v>
      </c>
      <c r="F418" t="s">
        <v>31</v>
      </c>
      <c r="G418" t="s">
        <v>32</v>
      </c>
      <c r="H418" s="1">
        <v>44104</v>
      </c>
      <c r="I418" t="s">
        <v>445</v>
      </c>
      <c r="J418" t="s">
        <v>20</v>
      </c>
      <c r="K418" t="s">
        <v>56</v>
      </c>
      <c r="L418" s="3">
        <f>IF(Sales_Table[[#This Row],[Revenue]]=0,0,Sales_Table[[#This Row],[Revenue]]/Sales_Table[[#This Row],[Profit]])</f>
        <v>3.2873432155074118</v>
      </c>
    </row>
    <row r="419" spans="1:12" x14ac:dyDescent="0.5">
      <c r="A419" t="s">
        <v>446</v>
      </c>
      <c r="B419">
        <v>4099</v>
      </c>
      <c r="C419">
        <v>52</v>
      </c>
      <c r="D419">
        <v>18</v>
      </c>
      <c r="E419" t="s">
        <v>10</v>
      </c>
      <c r="F419" t="s">
        <v>31</v>
      </c>
      <c r="G419" t="s">
        <v>12</v>
      </c>
      <c r="H419" s="1">
        <v>44648</v>
      </c>
      <c r="I419" t="s">
        <v>447</v>
      </c>
      <c r="J419" t="s">
        <v>20</v>
      </c>
      <c r="K419" t="s">
        <v>42</v>
      </c>
      <c r="L419" s="3">
        <f>IF(Sales_Table[[#This Row],[Revenue]]=0,0,Sales_Table[[#This Row],[Revenue]]/Sales_Table[[#This Row],[Profit]])</f>
        <v>78.82692307692308</v>
      </c>
    </row>
    <row r="420" spans="1:12" x14ac:dyDescent="0.5">
      <c r="A420" t="s">
        <v>448</v>
      </c>
      <c r="B420">
        <v>2539</v>
      </c>
      <c r="C420">
        <v>324</v>
      </c>
      <c r="D420">
        <v>5</v>
      </c>
      <c r="E420" t="s">
        <v>10</v>
      </c>
      <c r="F420" t="s">
        <v>11</v>
      </c>
      <c r="G420" t="s">
        <v>12</v>
      </c>
      <c r="H420" s="1">
        <v>44226</v>
      </c>
      <c r="I420" t="s">
        <v>449</v>
      </c>
      <c r="J420" t="s">
        <v>34</v>
      </c>
      <c r="K420" t="s">
        <v>75</v>
      </c>
      <c r="L420" s="3">
        <f>IF(Sales_Table[[#This Row],[Revenue]]=0,0,Sales_Table[[#This Row],[Revenue]]/Sales_Table[[#This Row],[Profit]])</f>
        <v>7.8364197530864201</v>
      </c>
    </row>
    <row r="421" spans="1:12" x14ac:dyDescent="0.5">
      <c r="A421" t="s">
        <v>450</v>
      </c>
      <c r="B421">
        <v>9845</v>
      </c>
      <c r="C421">
        <v>3062</v>
      </c>
      <c r="D421">
        <v>9</v>
      </c>
      <c r="E421" t="s">
        <v>24</v>
      </c>
      <c r="F421" t="s">
        <v>52</v>
      </c>
      <c r="G421" t="s">
        <v>53</v>
      </c>
      <c r="H421" s="1">
        <v>45730</v>
      </c>
      <c r="I421" t="s">
        <v>451</v>
      </c>
      <c r="J421" t="s">
        <v>14</v>
      </c>
      <c r="K421" t="s">
        <v>28</v>
      </c>
      <c r="L421" s="3">
        <f>IF(Sales_Table[[#This Row],[Revenue]]=0,0,Sales_Table[[#This Row],[Revenue]]/Sales_Table[[#This Row],[Profit]])</f>
        <v>3.2152188112344873</v>
      </c>
    </row>
    <row r="422" spans="1:12" x14ac:dyDescent="0.5">
      <c r="A422" t="s">
        <v>452</v>
      </c>
      <c r="B422">
        <v>2901</v>
      </c>
      <c r="C422">
        <v>1411</v>
      </c>
      <c r="D422">
        <v>2</v>
      </c>
      <c r="E422" t="s">
        <v>24</v>
      </c>
      <c r="F422" t="s">
        <v>52</v>
      </c>
      <c r="G422" t="s">
        <v>26</v>
      </c>
      <c r="H422" s="1">
        <v>44495</v>
      </c>
      <c r="I422" t="s">
        <v>453</v>
      </c>
      <c r="J422" t="s">
        <v>59</v>
      </c>
      <c r="K422" t="s">
        <v>71</v>
      </c>
      <c r="L422" s="3">
        <f>IF(Sales_Table[[#This Row],[Revenue]]=0,0,Sales_Table[[#This Row],[Revenue]]/Sales_Table[[#This Row],[Profit]])</f>
        <v>2.0559886605244508</v>
      </c>
    </row>
    <row r="423" spans="1:12" x14ac:dyDescent="0.5">
      <c r="A423" t="s">
        <v>452</v>
      </c>
      <c r="B423">
        <v>2901</v>
      </c>
      <c r="C423">
        <v>1411</v>
      </c>
      <c r="D423">
        <v>2</v>
      </c>
      <c r="E423" t="s">
        <v>24</v>
      </c>
      <c r="F423" t="s">
        <v>52</v>
      </c>
      <c r="G423" t="s">
        <v>26</v>
      </c>
      <c r="H423" s="1">
        <v>44937</v>
      </c>
      <c r="I423" t="s">
        <v>454</v>
      </c>
      <c r="J423" t="s">
        <v>34</v>
      </c>
      <c r="K423" t="s">
        <v>35</v>
      </c>
      <c r="L423" s="3">
        <f>IF(Sales_Table[[#This Row],[Revenue]]=0,0,Sales_Table[[#This Row],[Revenue]]/Sales_Table[[#This Row],[Profit]])</f>
        <v>2.0559886605244508</v>
      </c>
    </row>
    <row r="424" spans="1:12" x14ac:dyDescent="0.5">
      <c r="A424" t="s">
        <v>452</v>
      </c>
      <c r="B424">
        <v>6934</v>
      </c>
      <c r="C424">
        <v>1152</v>
      </c>
      <c r="D424">
        <v>6</v>
      </c>
      <c r="E424" t="s">
        <v>24</v>
      </c>
      <c r="F424" t="s">
        <v>25</v>
      </c>
      <c r="G424" t="s">
        <v>38</v>
      </c>
      <c r="H424" s="1">
        <v>44495</v>
      </c>
      <c r="I424" t="s">
        <v>453</v>
      </c>
      <c r="J424" t="s">
        <v>59</v>
      </c>
      <c r="K424" t="s">
        <v>71</v>
      </c>
      <c r="L424" s="3">
        <f>IF(Sales_Table[[#This Row],[Revenue]]=0,0,Sales_Table[[#This Row],[Revenue]]/Sales_Table[[#This Row],[Profit]])</f>
        <v>6.0190972222222223</v>
      </c>
    </row>
    <row r="425" spans="1:12" x14ac:dyDescent="0.5">
      <c r="A425" t="s">
        <v>452</v>
      </c>
      <c r="B425">
        <v>6934</v>
      </c>
      <c r="C425">
        <v>1152</v>
      </c>
      <c r="D425">
        <v>6</v>
      </c>
      <c r="E425" t="s">
        <v>24</v>
      </c>
      <c r="F425" t="s">
        <v>25</v>
      </c>
      <c r="G425" t="s">
        <v>38</v>
      </c>
      <c r="H425" s="1">
        <v>44937</v>
      </c>
      <c r="I425" t="s">
        <v>454</v>
      </c>
      <c r="J425" t="s">
        <v>34</v>
      </c>
      <c r="K425" t="s">
        <v>35</v>
      </c>
      <c r="L425" s="3">
        <f>IF(Sales_Table[[#This Row],[Revenue]]=0,0,Sales_Table[[#This Row],[Revenue]]/Sales_Table[[#This Row],[Profit]])</f>
        <v>6.0190972222222223</v>
      </c>
    </row>
    <row r="426" spans="1:12" x14ac:dyDescent="0.5">
      <c r="A426" t="s">
        <v>455</v>
      </c>
      <c r="B426">
        <v>9640</v>
      </c>
      <c r="C426">
        <v>2606</v>
      </c>
      <c r="D426">
        <v>2</v>
      </c>
      <c r="E426" t="s">
        <v>36</v>
      </c>
      <c r="F426" t="s">
        <v>87</v>
      </c>
      <c r="G426" t="s">
        <v>38</v>
      </c>
      <c r="H426" s="1">
        <v>44500</v>
      </c>
      <c r="I426" t="s">
        <v>456</v>
      </c>
      <c r="J426" t="s">
        <v>17</v>
      </c>
      <c r="K426" t="s">
        <v>134</v>
      </c>
      <c r="L426" s="3">
        <f>IF(Sales_Table[[#This Row],[Revenue]]=0,0,Sales_Table[[#This Row],[Revenue]]/Sales_Table[[#This Row],[Profit]])</f>
        <v>3.6991557943207982</v>
      </c>
    </row>
    <row r="427" spans="1:12" x14ac:dyDescent="0.5">
      <c r="A427" t="s">
        <v>457</v>
      </c>
      <c r="B427">
        <v>7930</v>
      </c>
      <c r="C427">
        <v>1981</v>
      </c>
      <c r="D427">
        <v>13</v>
      </c>
      <c r="E427" t="s">
        <v>36</v>
      </c>
      <c r="F427" t="s">
        <v>40</v>
      </c>
      <c r="G427" t="s">
        <v>38</v>
      </c>
      <c r="H427" s="1">
        <v>45050</v>
      </c>
      <c r="I427" t="s">
        <v>458</v>
      </c>
      <c r="J427" t="s">
        <v>79</v>
      </c>
      <c r="K427" t="s">
        <v>94</v>
      </c>
      <c r="L427" s="3">
        <f>IF(Sales_Table[[#This Row],[Revenue]]=0,0,Sales_Table[[#This Row],[Revenue]]/Sales_Table[[#This Row],[Profit]])</f>
        <v>4.0030287733467942</v>
      </c>
    </row>
    <row r="428" spans="1:12" x14ac:dyDescent="0.5">
      <c r="A428" t="s">
        <v>457</v>
      </c>
      <c r="B428">
        <v>7930</v>
      </c>
      <c r="C428">
        <v>1981</v>
      </c>
      <c r="D428">
        <v>13</v>
      </c>
      <c r="E428" t="s">
        <v>36</v>
      </c>
      <c r="F428" t="s">
        <v>40</v>
      </c>
      <c r="G428" t="s">
        <v>38</v>
      </c>
      <c r="H428" s="1">
        <v>45513</v>
      </c>
      <c r="I428" t="s">
        <v>459</v>
      </c>
      <c r="J428" t="s">
        <v>17</v>
      </c>
      <c r="K428" t="s">
        <v>51</v>
      </c>
      <c r="L428" s="3">
        <f>IF(Sales_Table[[#This Row],[Revenue]]=0,0,Sales_Table[[#This Row],[Revenue]]/Sales_Table[[#This Row],[Profit]])</f>
        <v>4.0030287733467942</v>
      </c>
    </row>
    <row r="429" spans="1:12" x14ac:dyDescent="0.5">
      <c r="A429" t="s">
        <v>460</v>
      </c>
      <c r="B429">
        <v>9894</v>
      </c>
      <c r="C429">
        <v>829</v>
      </c>
      <c r="D429">
        <v>1</v>
      </c>
      <c r="E429" t="s">
        <v>24</v>
      </c>
      <c r="F429" t="s">
        <v>64</v>
      </c>
      <c r="G429" t="s">
        <v>53</v>
      </c>
      <c r="H429" s="1">
        <v>44794</v>
      </c>
      <c r="I429" t="s">
        <v>461</v>
      </c>
      <c r="J429" t="s">
        <v>34</v>
      </c>
      <c r="K429" t="s">
        <v>62</v>
      </c>
      <c r="L429" s="3">
        <f>IF(Sales_Table[[#This Row],[Revenue]]=0,0,Sales_Table[[#This Row],[Revenue]]/Sales_Table[[#This Row],[Profit]])</f>
        <v>11.934861278648974</v>
      </c>
    </row>
    <row r="430" spans="1:12" x14ac:dyDescent="0.5">
      <c r="A430" t="s">
        <v>460</v>
      </c>
      <c r="B430">
        <v>4534</v>
      </c>
      <c r="C430">
        <v>2235</v>
      </c>
      <c r="D430">
        <v>4</v>
      </c>
      <c r="E430" t="s">
        <v>36</v>
      </c>
      <c r="F430" t="s">
        <v>37</v>
      </c>
      <c r="G430" t="s">
        <v>53</v>
      </c>
      <c r="H430" s="1">
        <v>44794</v>
      </c>
      <c r="I430" t="s">
        <v>461</v>
      </c>
      <c r="J430" t="s">
        <v>34</v>
      </c>
      <c r="K430" t="s">
        <v>62</v>
      </c>
      <c r="L430" s="3">
        <f>IF(Sales_Table[[#This Row],[Revenue]]=0,0,Sales_Table[[#This Row],[Revenue]]/Sales_Table[[#This Row],[Profit]])</f>
        <v>2.0286353467561522</v>
      </c>
    </row>
    <row r="431" spans="1:12" x14ac:dyDescent="0.5">
      <c r="A431" t="s">
        <v>462</v>
      </c>
      <c r="B431">
        <v>4911</v>
      </c>
      <c r="C431">
        <v>186</v>
      </c>
      <c r="D431">
        <v>20</v>
      </c>
      <c r="E431" t="s">
        <v>10</v>
      </c>
      <c r="F431" t="s">
        <v>67</v>
      </c>
      <c r="G431" t="s">
        <v>26</v>
      </c>
      <c r="H431" s="1">
        <v>44731</v>
      </c>
      <c r="I431" t="s">
        <v>463</v>
      </c>
      <c r="J431" t="s">
        <v>20</v>
      </c>
      <c r="K431" t="s">
        <v>21</v>
      </c>
      <c r="L431" s="3">
        <f>IF(Sales_Table[[#This Row],[Revenue]]=0,0,Sales_Table[[#This Row],[Revenue]]/Sales_Table[[#This Row],[Profit]])</f>
        <v>26.403225806451612</v>
      </c>
    </row>
    <row r="432" spans="1:12" x14ac:dyDescent="0.5">
      <c r="A432" t="s">
        <v>462</v>
      </c>
      <c r="B432">
        <v>531</v>
      </c>
      <c r="C432">
        <v>189</v>
      </c>
      <c r="D432">
        <v>20</v>
      </c>
      <c r="E432" t="s">
        <v>36</v>
      </c>
      <c r="F432" t="s">
        <v>87</v>
      </c>
      <c r="G432" t="s">
        <v>26</v>
      </c>
      <c r="H432" s="1">
        <v>44731</v>
      </c>
      <c r="I432" t="s">
        <v>463</v>
      </c>
      <c r="J432" t="s">
        <v>20</v>
      </c>
      <c r="K432" t="s">
        <v>21</v>
      </c>
      <c r="L432" s="3">
        <f>IF(Sales_Table[[#This Row],[Revenue]]=0,0,Sales_Table[[#This Row],[Revenue]]/Sales_Table[[#This Row],[Profit]])</f>
        <v>2.8095238095238093</v>
      </c>
    </row>
    <row r="433" spans="1:12" x14ac:dyDescent="0.5">
      <c r="A433" t="s">
        <v>464</v>
      </c>
      <c r="B433">
        <v>9707</v>
      </c>
      <c r="C433">
        <v>3483</v>
      </c>
      <c r="D433">
        <v>10</v>
      </c>
      <c r="E433" t="s">
        <v>10</v>
      </c>
      <c r="F433" t="s">
        <v>11</v>
      </c>
      <c r="G433" t="s">
        <v>32</v>
      </c>
      <c r="H433" s="1">
        <v>45686</v>
      </c>
      <c r="I433" t="s">
        <v>465</v>
      </c>
      <c r="J433" t="s">
        <v>17</v>
      </c>
      <c r="K433" t="s">
        <v>134</v>
      </c>
      <c r="L433" s="3">
        <f>IF(Sales_Table[[#This Row],[Revenue]]=0,0,Sales_Table[[#This Row],[Revenue]]/Sales_Table[[#This Row],[Profit]])</f>
        <v>2.7869652598334769</v>
      </c>
    </row>
    <row r="434" spans="1:12" x14ac:dyDescent="0.5">
      <c r="A434" t="s">
        <v>464</v>
      </c>
      <c r="B434">
        <v>8521</v>
      </c>
      <c r="C434">
        <v>2584</v>
      </c>
      <c r="D434">
        <v>7</v>
      </c>
      <c r="E434" t="s">
        <v>24</v>
      </c>
      <c r="F434" t="s">
        <v>52</v>
      </c>
      <c r="G434" t="s">
        <v>53</v>
      </c>
      <c r="H434" s="1">
        <v>45686</v>
      </c>
      <c r="I434" t="s">
        <v>465</v>
      </c>
      <c r="J434" t="s">
        <v>17</v>
      </c>
      <c r="K434" t="s">
        <v>134</v>
      </c>
      <c r="L434" s="3">
        <f>IF(Sales_Table[[#This Row],[Revenue]]=0,0,Sales_Table[[#This Row],[Revenue]]/Sales_Table[[#This Row],[Profit]])</f>
        <v>3.2976006191950464</v>
      </c>
    </row>
    <row r="435" spans="1:12" x14ac:dyDescent="0.5">
      <c r="A435" t="s">
        <v>466</v>
      </c>
      <c r="B435">
        <v>8438</v>
      </c>
      <c r="C435">
        <v>3427</v>
      </c>
      <c r="D435">
        <v>12</v>
      </c>
      <c r="E435" t="s">
        <v>24</v>
      </c>
      <c r="F435" t="s">
        <v>64</v>
      </c>
      <c r="G435" t="s">
        <v>38</v>
      </c>
      <c r="H435" s="1">
        <v>44575</v>
      </c>
      <c r="I435" t="s">
        <v>467</v>
      </c>
      <c r="J435" t="s">
        <v>20</v>
      </c>
      <c r="K435" t="s">
        <v>21</v>
      </c>
      <c r="L435" s="3">
        <f>IF(Sales_Table[[#This Row],[Revenue]]=0,0,Sales_Table[[#This Row],[Revenue]]/Sales_Table[[#This Row],[Profit]])</f>
        <v>2.4622118470965861</v>
      </c>
    </row>
    <row r="436" spans="1:12" x14ac:dyDescent="0.5">
      <c r="A436" t="s">
        <v>466</v>
      </c>
      <c r="B436">
        <v>1689</v>
      </c>
      <c r="C436">
        <v>109</v>
      </c>
      <c r="D436">
        <v>9</v>
      </c>
      <c r="E436" t="s">
        <v>10</v>
      </c>
      <c r="F436" t="s">
        <v>11</v>
      </c>
      <c r="G436" t="s">
        <v>12</v>
      </c>
      <c r="H436" s="1">
        <v>44575</v>
      </c>
      <c r="I436" t="s">
        <v>467</v>
      </c>
      <c r="J436" t="s">
        <v>20</v>
      </c>
      <c r="K436" t="s">
        <v>21</v>
      </c>
      <c r="L436" s="3">
        <f>IF(Sales_Table[[#This Row],[Revenue]]=0,0,Sales_Table[[#This Row],[Revenue]]/Sales_Table[[#This Row],[Profit]])</f>
        <v>15.495412844036696</v>
      </c>
    </row>
    <row r="437" spans="1:12" x14ac:dyDescent="0.5">
      <c r="A437" t="s">
        <v>466</v>
      </c>
      <c r="B437">
        <v>3936</v>
      </c>
      <c r="C437">
        <v>1626</v>
      </c>
      <c r="D437">
        <v>14</v>
      </c>
      <c r="E437" t="s">
        <v>24</v>
      </c>
      <c r="F437" t="s">
        <v>52</v>
      </c>
      <c r="G437" t="s">
        <v>53</v>
      </c>
      <c r="H437" s="1">
        <v>44575</v>
      </c>
      <c r="I437" t="s">
        <v>467</v>
      </c>
      <c r="J437" t="s">
        <v>20</v>
      </c>
      <c r="K437" t="s">
        <v>21</v>
      </c>
      <c r="L437" s="3">
        <f>IF(Sales_Table[[#This Row],[Revenue]]=0,0,Sales_Table[[#This Row],[Revenue]]/Sales_Table[[#This Row],[Profit]])</f>
        <v>2.4206642066420665</v>
      </c>
    </row>
    <row r="438" spans="1:12" x14ac:dyDescent="0.5">
      <c r="A438" t="s">
        <v>468</v>
      </c>
      <c r="B438">
        <v>7664</v>
      </c>
      <c r="C438">
        <v>1753</v>
      </c>
      <c r="D438">
        <v>19</v>
      </c>
      <c r="E438" t="s">
        <v>10</v>
      </c>
      <c r="F438" t="s">
        <v>67</v>
      </c>
      <c r="G438" t="s">
        <v>26</v>
      </c>
      <c r="H438" s="1">
        <v>45092</v>
      </c>
      <c r="I438" t="s">
        <v>469</v>
      </c>
      <c r="J438" t="s">
        <v>79</v>
      </c>
      <c r="K438" t="s">
        <v>86</v>
      </c>
      <c r="L438" s="3">
        <f>IF(Sales_Table[[#This Row],[Revenue]]=0,0,Sales_Table[[#This Row],[Revenue]]/Sales_Table[[#This Row],[Profit]])</f>
        <v>4.3719338277239022</v>
      </c>
    </row>
    <row r="439" spans="1:12" x14ac:dyDescent="0.5">
      <c r="A439" t="s">
        <v>470</v>
      </c>
      <c r="B439">
        <v>721</v>
      </c>
      <c r="C439">
        <v>258</v>
      </c>
      <c r="D439">
        <v>13</v>
      </c>
      <c r="E439" t="s">
        <v>10</v>
      </c>
      <c r="F439" t="s">
        <v>31</v>
      </c>
      <c r="G439" t="s">
        <v>26</v>
      </c>
      <c r="H439" s="1">
        <v>45217</v>
      </c>
      <c r="I439" t="s">
        <v>471</v>
      </c>
      <c r="J439" t="s">
        <v>17</v>
      </c>
      <c r="K439" t="s">
        <v>134</v>
      </c>
      <c r="L439" s="3">
        <f>IF(Sales_Table[[#This Row],[Revenue]]=0,0,Sales_Table[[#This Row],[Revenue]]/Sales_Table[[#This Row],[Profit]])</f>
        <v>2.7945736434108528</v>
      </c>
    </row>
    <row r="440" spans="1:12" x14ac:dyDescent="0.5">
      <c r="A440" t="s">
        <v>470</v>
      </c>
      <c r="B440">
        <v>721</v>
      </c>
      <c r="C440">
        <v>258</v>
      </c>
      <c r="D440">
        <v>13</v>
      </c>
      <c r="E440" t="s">
        <v>10</v>
      </c>
      <c r="F440" t="s">
        <v>31</v>
      </c>
      <c r="G440" t="s">
        <v>26</v>
      </c>
      <c r="H440" s="1">
        <v>44725</v>
      </c>
      <c r="I440" t="s">
        <v>472</v>
      </c>
      <c r="J440" t="s">
        <v>20</v>
      </c>
      <c r="K440" t="s">
        <v>21</v>
      </c>
      <c r="L440" s="3">
        <f>IF(Sales_Table[[#This Row],[Revenue]]=0,0,Sales_Table[[#This Row],[Revenue]]/Sales_Table[[#This Row],[Profit]])</f>
        <v>2.7945736434108528</v>
      </c>
    </row>
    <row r="441" spans="1:12" x14ac:dyDescent="0.5">
      <c r="A441" t="s">
        <v>470</v>
      </c>
      <c r="B441">
        <v>8364</v>
      </c>
      <c r="C441">
        <v>3055</v>
      </c>
      <c r="D441">
        <v>17</v>
      </c>
      <c r="E441" t="s">
        <v>10</v>
      </c>
      <c r="F441" t="s">
        <v>31</v>
      </c>
      <c r="G441" t="s">
        <v>38</v>
      </c>
      <c r="H441" s="1">
        <v>45217</v>
      </c>
      <c r="I441" t="s">
        <v>471</v>
      </c>
      <c r="J441" t="s">
        <v>17</v>
      </c>
      <c r="K441" t="s">
        <v>134</v>
      </c>
      <c r="L441" s="3">
        <f>IF(Sales_Table[[#This Row],[Revenue]]=0,0,Sales_Table[[#This Row],[Revenue]]/Sales_Table[[#This Row],[Profit]])</f>
        <v>2.7378068739770867</v>
      </c>
    </row>
    <row r="442" spans="1:12" x14ac:dyDescent="0.5">
      <c r="A442" t="s">
        <v>470</v>
      </c>
      <c r="B442">
        <v>8364</v>
      </c>
      <c r="C442">
        <v>3055</v>
      </c>
      <c r="D442">
        <v>17</v>
      </c>
      <c r="E442" t="s">
        <v>10</v>
      </c>
      <c r="F442" t="s">
        <v>31</v>
      </c>
      <c r="G442" t="s">
        <v>38</v>
      </c>
      <c r="H442" s="1">
        <v>44725</v>
      </c>
      <c r="I442" t="s">
        <v>472</v>
      </c>
      <c r="J442" t="s">
        <v>20</v>
      </c>
      <c r="K442" t="s">
        <v>21</v>
      </c>
      <c r="L442" s="3">
        <f>IF(Sales_Table[[#This Row],[Revenue]]=0,0,Sales_Table[[#This Row],[Revenue]]/Sales_Table[[#This Row],[Profit]])</f>
        <v>2.7378068739770867</v>
      </c>
    </row>
    <row r="443" spans="1:12" x14ac:dyDescent="0.5">
      <c r="A443" t="s">
        <v>470</v>
      </c>
      <c r="B443">
        <v>5234</v>
      </c>
      <c r="C443">
        <v>2021</v>
      </c>
      <c r="D443">
        <v>15</v>
      </c>
      <c r="E443" t="s">
        <v>36</v>
      </c>
      <c r="F443" t="s">
        <v>87</v>
      </c>
      <c r="G443" t="s">
        <v>32</v>
      </c>
      <c r="H443" s="1">
        <v>45217</v>
      </c>
      <c r="I443" t="s">
        <v>471</v>
      </c>
      <c r="J443" t="s">
        <v>17</v>
      </c>
      <c r="K443" t="s">
        <v>134</v>
      </c>
      <c r="L443" s="3">
        <f>IF(Sales_Table[[#This Row],[Revenue]]=0,0,Sales_Table[[#This Row],[Revenue]]/Sales_Table[[#This Row],[Profit]])</f>
        <v>2.5898070262246411</v>
      </c>
    </row>
    <row r="444" spans="1:12" x14ac:dyDescent="0.5">
      <c r="A444" t="s">
        <v>470</v>
      </c>
      <c r="B444">
        <v>5234</v>
      </c>
      <c r="C444">
        <v>2021</v>
      </c>
      <c r="D444">
        <v>15</v>
      </c>
      <c r="E444" t="s">
        <v>36</v>
      </c>
      <c r="F444" t="s">
        <v>87</v>
      </c>
      <c r="G444" t="s">
        <v>32</v>
      </c>
      <c r="H444" s="1">
        <v>44725</v>
      </c>
      <c r="I444" t="s">
        <v>472</v>
      </c>
      <c r="J444" t="s">
        <v>20</v>
      </c>
      <c r="K444" t="s">
        <v>21</v>
      </c>
      <c r="L444" s="3">
        <f>IF(Sales_Table[[#This Row],[Revenue]]=0,0,Sales_Table[[#This Row],[Revenue]]/Sales_Table[[#This Row],[Profit]])</f>
        <v>2.5898070262246411</v>
      </c>
    </row>
    <row r="445" spans="1:12" x14ac:dyDescent="0.5">
      <c r="A445" t="s">
        <v>473</v>
      </c>
      <c r="B445">
        <v>3944</v>
      </c>
      <c r="C445">
        <v>1559</v>
      </c>
      <c r="D445">
        <v>18</v>
      </c>
      <c r="E445" t="s">
        <v>10</v>
      </c>
      <c r="F445" t="s">
        <v>67</v>
      </c>
      <c r="G445" t="s">
        <v>38</v>
      </c>
      <c r="H445" s="1">
        <v>45455</v>
      </c>
      <c r="I445" t="s">
        <v>474</v>
      </c>
      <c r="J445" t="s">
        <v>34</v>
      </c>
      <c r="K445" t="s">
        <v>75</v>
      </c>
      <c r="L445" s="3">
        <f>IF(Sales_Table[[#This Row],[Revenue]]=0,0,Sales_Table[[#This Row],[Revenue]]/Sales_Table[[#This Row],[Profit]])</f>
        <v>2.5298268120590124</v>
      </c>
    </row>
    <row r="446" spans="1:12" x14ac:dyDescent="0.5">
      <c r="A446" t="s">
        <v>473</v>
      </c>
      <c r="B446">
        <v>6711</v>
      </c>
      <c r="C446">
        <v>1045</v>
      </c>
      <c r="D446">
        <v>12</v>
      </c>
      <c r="E446" t="s">
        <v>24</v>
      </c>
      <c r="F446" t="s">
        <v>25</v>
      </c>
      <c r="G446" t="s">
        <v>38</v>
      </c>
      <c r="H446" s="1">
        <v>45455</v>
      </c>
      <c r="I446" t="s">
        <v>474</v>
      </c>
      <c r="J446" t="s">
        <v>34</v>
      </c>
      <c r="K446" t="s">
        <v>75</v>
      </c>
      <c r="L446" s="3">
        <f>IF(Sales_Table[[#This Row],[Revenue]]=0,0,Sales_Table[[#This Row],[Revenue]]/Sales_Table[[#This Row],[Profit]])</f>
        <v>6.4220095693779902</v>
      </c>
    </row>
    <row r="447" spans="1:12" x14ac:dyDescent="0.5">
      <c r="A447" t="s">
        <v>473</v>
      </c>
      <c r="B447">
        <v>5031</v>
      </c>
      <c r="C447">
        <v>714</v>
      </c>
      <c r="D447">
        <v>4</v>
      </c>
      <c r="E447" t="s">
        <v>36</v>
      </c>
      <c r="F447" t="s">
        <v>37</v>
      </c>
      <c r="G447" t="s">
        <v>38</v>
      </c>
      <c r="H447" s="1">
        <v>45455</v>
      </c>
      <c r="I447" t="s">
        <v>474</v>
      </c>
      <c r="J447" t="s">
        <v>34</v>
      </c>
      <c r="K447" t="s">
        <v>75</v>
      </c>
      <c r="L447" s="3">
        <f>IF(Sales_Table[[#This Row],[Revenue]]=0,0,Sales_Table[[#This Row],[Revenue]]/Sales_Table[[#This Row],[Profit]])</f>
        <v>7.0462184873949578</v>
      </c>
    </row>
    <row r="448" spans="1:12" x14ac:dyDescent="0.5">
      <c r="A448" t="s">
        <v>473</v>
      </c>
      <c r="B448">
        <v>6295</v>
      </c>
      <c r="C448">
        <v>2469</v>
      </c>
      <c r="D448">
        <v>14</v>
      </c>
      <c r="E448" t="s">
        <v>24</v>
      </c>
      <c r="F448" t="s">
        <v>64</v>
      </c>
      <c r="G448" t="s">
        <v>32</v>
      </c>
      <c r="H448" s="1">
        <v>45455</v>
      </c>
      <c r="I448" t="s">
        <v>474</v>
      </c>
      <c r="J448" t="s">
        <v>34</v>
      </c>
      <c r="K448" t="s">
        <v>75</v>
      </c>
      <c r="L448" s="3">
        <f>IF(Sales_Table[[#This Row],[Revenue]]=0,0,Sales_Table[[#This Row],[Revenue]]/Sales_Table[[#This Row],[Profit]])</f>
        <v>2.549615228837586</v>
      </c>
    </row>
    <row r="449" spans="1:12" x14ac:dyDescent="0.5">
      <c r="A449" t="s">
        <v>475</v>
      </c>
      <c r="B449">
        <v>9654</v>
      </c>
      <c r="C449">
        <v>4111</v>
      </c>
      <c r="D449">
        <v>1</v>
      </c>
      <c r="E449" t="s">
        <v>24</v>
      </c>
      <c r="F449" t="s">
        <v>52</v>
      </c>
      <c r="G449" t="s">
        <v>12</v>
      </c>
      <c r="H449" s="1">
        <v>44739</v>
      </c>
      <c r="I449" t="s">
        <v>476</v>
      </c>
      <c r="J449" t="s">
        <v>34</v>
      </c>
      <c r="K449" t="s">
        <v>75</v>
      </c>
      <c r="L449" s="3">
        <f>IF(Sales_Table[[#This Row],[Revenue]]=0,0,Sales_Table[[#This Row],[Revenue]]/Sales_Table[[#This Row],[Profit]])</f>
        <v>2.3483337387496959</v>
      </c>
    </row>
    <row r="450" spans="1:12" x14ac:dyDescent="0.5">
      <c r="A450" t="s">
        <v>475</v>
      </c>
      <c r="B450">
        <v>3112</v>
      </c>
      <c r="C450">
        <v>1065</v>
      </c>
      <c r="D450">
        <v>20</v>
      </c>
      <c r="E450" t="s">
        <v>24</v>
      </c>
      <c r="F450" t="s">
        <v>64</v>
      </c>
      <c r="G450" t="s">
        <v>53</v>
      </c>
      <c r="H450" s="1">
        <v>44739</v>
      </c>
      <c r="I450" t="s">
        <v>476</v>
      </c>
      <c r="J450" t="s">
        <v>34</v>
      </c>
      <c r="K450" t="s">
        <v>75</v>
      </c>
      <c r="L450" s="3">
        <f>IF(Sales_Table[[#This Row],[Revenue]]=0,0,Sales_Table[[#This Row],[Revenue]]/Sales_Table[[#This Row],[Profit]])</f>
        <v>2.9220657276995303</v>
      </c>
    </row>
    <row r="451" spans="1:12" x14ac:dyDescent="0.5">
      <c r="A451" t="s">
        <v>477</v>
      </c>
      <c r="B451">
        <v>7838</v>
      </c>
      <c r="C451">
        <v>1142</v>
      </c>
      <c r="D451">
        <v>13</v>
      </c>
      <c r="E451" t="s">
        <v>10</v>
      </c>
      <c r="F451" t="s">
        <v>67</v>
      </c>
      <c r="G451" t="s">
        <v>12</v>
      </c>
      <c r="H451" s="1">
        <v>44245</v>
      </c>
      <c r="I451" t="s">
        <v>478</v>
      </c>
      <c r="J451" t="s">
        <v>34</v>
      </c>
      <c r="K451" t="s">
        <v>75</v>
      </c>
      <c r="L451" s="3">
        <f>IF(Sales_Table[[#This Row],[Revenue]]=0,0,Sales_Table[[#This Row],[Revenue]]/Sales_Table[[#This Row],[Profit]])</f>
        <v>6.8633975481611209</v>
      </c>
    </row>
    <row r="452" spans="1:12" x14ac:dyDescent="0.5">
      <c r="A452" t="s">
        <v>477</v>
      </c>
      <c r="B452">
        <v>9300</v>
      </c>
      <c r="C452">
        <v>3146</v>
      </c>
      <c r="D452">
        <v>6</v>
      </c>
      <c r="E452" t="s">
        <v>10</v>
      </c>
      <c r="F452" t="s">
        <v>67</v>
      </c>
      <c r="G452" t="s">
        <v>38</v>
      </c>
      <c r="H452" s="1">
        <v>44245</v>
      </c>
      <c r="I452" t="s">
        <v>478</v>
      </c>
      <c r="J452" t="s">
        <v>34</v>
      </c>
      <c r="K452" t="s">
        <v>75</v>
      </c>
      <c r="L452" s="3">
        <f>IF(Sales_Table[[#This Row],[Revenue]]=0,0,Sales_Table[[#This Row],[Revenue]]/Sales_Table[[#This Row],[Profit]])</f>
        <v>2.9561347743165927</v>
      </c>
    </row>
    <row r="453" spans="1:12" x14ac:dyDescent="0.5">
      <c r="A453" t="s">
        <v>477</v>
      </c>
      <c r="B453">
        <v>1733</v>
      </c>
      <c r="C453">
        <v>133</v>
      </c>
      <c r="D453">
        <v>17</v>
      </c>
      <c r="E453" t="s">
        <v>24</v>
      </c>
      <c r="F453" t="s">
        <v>52</v>
      </c>
      <c r="G453" t="s">
        <v>26</v>
      </c>
      <c r="H453" s="1">
        <v>44245</v>
      </c>
      <c r="I453" t="s">
        <v>478</v>
      </c>
      <c r="J453" t="s">
        <v>34</v>
      </c>
      <c r="K453" t="s">
        <v>75</v>
      </c>
      <c r="L453" s="3">
        <f>IF(Sales_Table[[#This Row],[Revenue]]=0,0,Sales_Table[[#This Row],[Revenue]]/Sales_Table[[#This Row],[Profit]])</f>
        <v>13.030075187969924</v>
      </c>
    </row>
    <row r="454" spans="1:12" x14ac:dyDescent="0.5">
      <c r="A454" t="s">
        <v>479</v>
      </c>
      <c r="B454">
        <v>874</v>
      </c>
      <c r="C454">
        <v>235</v>
      </c>
      <c r="D454">
        <v>15</v>
      </c>
      <c r="E454" t="s">
        <v>24</v>
      </c>
      <c r="F454" t="s">
        <v>64</v>
      </c>
      <c r="G454" t="s">
        <v>26</v>
      </c>
      <c r="H454" s="1">
        <v>45075</v>
      </c>
      <c r="I454" t="s">
        <v>480</v>
      </c>
      <c r="J454" t="s">
        <v>20</v>
      </c>
      <c r="K454" t="s">
        <v>56</v>
      </c>
      <c r="L454" s="3">
        <f>IF(Sales_Table[[#This Row],[Revenue]]=0,0,Sales_Table[[#This Row],[Revenue]]/Sales_Table[[#This Row],[Profit]])</f>
        <v>3.7191489361702126</v>
      </c>
    </row>
    <row r="455" spans="1:12" x14ac:dyDescent="0.5">
      <c r="A455" t="s">
        <v>479</v>
      </c>
      <c r="B455">
        <v>874</v>
      </c>
      <c r="C455">
        <v>235</v>
      </c>
      <c r="D455">
        <v>15</v>
      </c>
      <c r="E455" t="s">
        <v>24</v>
      </c>
      <c r="F455" t="s">
        <v>64</v>
      </c>
      <c r="G455" t="s">
        <v>26</v>
      </c>
      <c r="H455" s="1">
        <v>44351</v>
      </c>
      <c r="I455" t="s">
        <v>481</v>
      </c>
      <c r="J455" t="s">
        <v>14</v>
      </c>
      <c r="K455" t="s">
        <v>15</v>
      </c>
      <c r="L455" s="3">
        <f>IF(Sales_Table[[#This Row],[Revenue]]=0,0,Sales_Table[[#This Row],[Revenue]]/Sales_Table[[#This Row],[Profit]])</f>
        <v>3.7191489361702126</v>
      </c>
    </row>
    <row r="456" spans="1:12" x14ac:dyDescent="0.5">
      <c r="A456" t="s">
        <v>482</v>
      </c>
      <c r="B456">
        <v>1248</v>
      </c>
      <c r="C456">
        <v>584</v>
      </c>
      <c r="D456">
        <v>13</v>
      </c>
      <c r="E456" t="s">
        <v>24</v>
      </c>
      <c r="F456" t="s">
        <v>25</v>
      </c>
      <c r="G456" t="s">
        <v>32</v>
      </c>
      <c r="H456" s="1">
        <v>45313</v>
      </c>
      <c r="I456" t="s">
        <v>483</v>
      </c>
      <c r="J456" t="s">
        <v>79</v>
      </c>
      <c r="K456" t="s">
        <v>80</v>
      </c>
      <c r="L456" s="3">
        <f>IF(Sales_Table[[#This Row],[Revenue]]=0,0,Sales_Table[[#This Row],[Revenue]]/Sales_Table[[#This Row],[Profit]])</f>
        <v>2.1369863013698631</v>
      </c>
    </row>
    <row r="457" spans="1:12" x14ac:dyDescent="0.5">
      <c r="A457" t="s">
        <v>482</v>
      </c>
      <c r="B457">
        <v>1248</v>
      </c>
      <c r="C457">
        <v>584</v>
      </c>
      <c r="D457">
        <v>13</v>
      </c>
      <c r="E457" t="s">
        <v>24</v>
      </c>
      <c r="F457" t="s">
        <v>25</v>
      </c>
      <c r="G457" t="s">
        <v>32</v>
      </c>
      <c r="H457" s="1">
        <v>44922</v>
      </c>
      <c r="I457" t="s">
        <v>484</v>
      </c>
      <c r="J457" t="s">
        <v>34</v>
      </c>
      <c r="K457" t="s">
        <v>75</v>
      </c>
      <c r="L457" s="3">
        <f>IF(Sales_Table[[#This Row],[Revenue]]=0,0,Sales_Table[[#This Row],[Revenue]]/Sales_Table[[#This Row],[Profit]])</f>
        <v>2.1369863013698631</v>
      </c>
    </row>
    <row r="458" spans="1:12" x14ac:dyDescent="0.5">
      <c r="A458" t="s">
        <v>482</v>
      </c>
      <c r="B458">
        <v>3669</v>
      </c>
      <c r="C458">
        <v>154</v>
      </c>
      <c r="D458">
        <v>14</v>
      </c>
      <c r="E458" t="s">
        <v>24</v>
      </c>
      <c r="F458" t="s">
        <v>46</v>
      </c>
      <c r="G458" t="s">
        <v>32</v>
      </c>
      <c r="H458" s="1">
        <v>45313</v>
      </c>
      <c r="I458" t="s">
        <v>483</v>
      </c>
      <c r="J458" t="s">
        <v>79</v>
      </c>
      <c r="K458" t="s">
        <v>80</v>
      </c>
      <c r="L458" s="3">
        <f>IF(Sales_Table[[#This Row],[Revenue]]=0,0,Sales_Table[[#This Row],[Revenue]]/Sales_Table[[#This Row],[Profit]])</f>
        <v>23.824675324675326</v>
      </c>
    </row>
    <row r="459" spans="1:12" x14ac:dyDescent="0.5">
      <c r="A459" t="s">
        <v>482</v>
      </c>
      <c r="B459">
        <v>3669</v>
      </c>
      <c r="C459">
        <v>154</v>
      </c>
      <c r="D459">
        <v>14</v>
      </c>
      <c r="E459" t="s">
        <v>24</v>
      </c>
      <c r="F459" t="s">
        <v>46</v>
      </c>
      <c r="G459" t="s">
        <v>32</v>
      </c>
      <c r="H459" s="1">
        <v>44922</v>
      </c>
      <c r="I459" t="s">
        <v>484</v>
      </c>
      <c r="J459" t="s">
        <v>34</v>
      </c>
      <c r="K459" t="s">
        <v>75</v>
      </c>
      <c r="L459" s="3">
        <f>IF(Sales_Table[[#This Row],[Revenue]]=0,0,Sales_Table[[#This Row],[Revenue]]/Sales_Table[[#This Row],[Profit]])</f>
        <v>23.824675324675326</v>
      </c>
    </row>
    <row r="460" spans="1:12" x14ac:dyDescent="0.5">
      <c r="A460" t="s">
        <v>482</v>
      </c>
      <c r="B460">
        <v>514</v>
      </c>
      <c r="C460">
        <v>109</v>
      </c>
      <c r="D460">
        <v>15</v>
      </c>
      <c r="E460" t="s">
        <v>24</v>
      </c>
      <c r="F460" t="s">
        <v>52</v>
      </c>
      <c r="G460" t="s">
        <v>26</v>
      </c>
      <c r="H460" s="1">
        <v>45313</v>
      </c>
      <c r="I460" t="s">
        <v>483</v>
      </c>
      <c r="J460" t="s">
        <v>79</v>
      </c>
      <c r="K460" t="s">
        <v>80</v>
      </c>
      <c r="L460" s="3">
        <f>IF(Sales_Table[[#This Row],[Revenue]]=0,0,Sales_Table[[#This Row],[Revenue]]/Sales_Table[[#This Row],[Profit]])</f>
        <v>4.7155963302752291</v>
      </c>
    </row>
    <row r="461" spans="1:12" x14ac:dyDescent="0.5">
      <c r="A461" t="s">
        <v>482</v>
      </c>
      <c r="B461">
        <v>514</v>
      </c>
      <c r="C461">
        <v>109</v>
      </c>
      <c r="D461">
        <v>15</v>
      </c>
      <c r="E461" t="s">
        <v>24</v>
      </c>
      <c r="F461" t="s">
        <v>52</v>
      </c>
      <c r="G461" t="s">
        <v>26</v>
      </c>
      <c r="H461" s="1">
        <v>44922</v>
      </c>
      <c r="I461" t="s">
        <v>484</v>
      </c>
      <c r="J461" t="s">
        <v>34</v>
      </c>
      <c r="K461" t="s">
        <v>75</v>
      </c>
      <c r="L461" s="3">
        <f>IF(Sales_Table[[#This Row],[Revenue]]=0,0,Sales_Table[[#This Row],[Revenue]]/Sales_Table[[#This Row],[Profit]])</f>
        <v>4.7155963302752291</v>
      </c>
    </row>
    <row r="462" spans="1:12" x14ac:dyDescent="0.5">
      <c r="A462" t="s">
        <v>485</v>
      </c>
      <c r="B462">
        <v>3273</v>
      </c>
      <c r="C462">
        <v>85</v>
      </c>
      <c r="D462">
        <v>16</v>
      </c>
      <c r="E462" t="s">
        <v>10</v>
      </c>
      <c r="F462" t="s">
        <v>67</v>
      </c>
      <c r="G462" t="s">
        <v>12</v>
      </c>
      <c r="H462" s="1">
        <v>45381</v>
      </c>
      <c r="I462" t="s">
        <v>486</v>
      </c>
      <c r="J462" t="s">
        <v>79</v>
      </c>
      <c r="K462" t="s">
        <v>86</v>
      </c>
      <c r="L462" s="3">
        <f>IF(Sales_Table[[#This Row],[Revenue]]=0,0,Sales_Table[[#This Row],[Revenue]]/Sales_Table[[#This Row],[Profit]])</f>
        <v>38.505882352941178</v>
      </c>
    </row>
    <row r="463" spans="1:12" x14ac:dyDescent="0.5">
      <c r="A463" t="s">
        <v>487</v>
      </c>
      <c r="B463">
        <v>5035</v>
      </c>
      <c r="C463">
        <v>2008</v>
      </c>
      <c r="D463">
        <v>2</v>
      </c>
      <c r="E463" t="s">
        <v>36</v>
      </c>
      <c r="F463" t="s">
        <v>40</v>
      </c>
      <c r="G463" t="s">
        <v>53</v>
      </c>
      <c r="H463" s="1">
        <v>43925</v>
      </c>
      <c r="I463" t="s">
        <v>488</v>
      </c>
      <c r="J463" t="s">
        <v>14</v>
      </c>
      <c r="K463" t="s">
        <v>15</v>
      </c>
      <c r="L463" s="3">
        <f>IF(Sales_Table[[#This Row],[Revenue]]=0,0,Sales_Table[[#This Row],[Revenue]]/Sales_Table[[#This Row],[Profit]])</f>
        <v>2.5074701195219125</v>
      </c>
    </row>
    <row r="464" spans="1:12" x14ac:dyDescent="0.5">
      <c r="A464" t="s">
        <v>487</v>
      </c>
      <c r="B464">
        <v>7702</v>
      </c>
      <c r="C464">
        <v>60</v>
      </c>
      <c r="D464">
        <v>19</v>
      </c>
      <c r="E464" t="s">
        <v>10</v>
      </c>
      <c r="F464" t="s">
        <v>22</v>
      </c>
      <c r="G464" t="s">
        <v>12</v>
      </c>
      <c r="H464" s="1">
        <v>43925</v>
      </c>
      <c r="I464" t="s">
        <v>488</v>
      </c>
      <c r="J464" t="s">
        <v>14</v>
      </c>
      <c r="K464" t="s">
        <v>15</v>
      </c>
      <c r="L464" s="3">
        <f>IF(Sales_Table[[#This Row],[Revenue]]=0,0,Sales_Table[[#This Row],[Revenue]]/Sales_Table[[#This Row],[Profit]])</f>
        <v>128.36666666666667</v>
      </c>
    </row>
    <row r="465" spans="1:12" x14ac:dyDescent="0.5">
      <c r="A465" t="s">
        <v>487</v>
      </c>
      <c r="B465">
        <v>9884</v>
      </c>
      <c r="C465">
        <v>4446</v>
      </c>
      <c r="D465">
        <v>7</v>
      </c>
      <c r="E465" t="s">
        <v>10</v>
      </c>
      <c r="F465" t="s">
        <v>22</v>
      </c>
      <c r="G465" t="s">
        <v>32</v>
      </c>
      <c r="H465" s="1">
        <v>43925</v>
      </c>
      <c r="I465" t="s">
        <v>488</v>
      </c>
      <c r="J465" t="s">
        <v>14</v>
      </c>
      <c r="K465" t="s">
        <v>15</v>
      </c>
      <c r="L465" s="3">
        <f>IF(Sales_Table[[#This Row],[Revenue]]=0,0,Sales_Table[[#This Row],[Revenue]]/Sales_Table[[#This Row],[Profit]])</f>
        <v>2.2231219073324335</v>
      </c>
    </row>
    <row r="466" spans="1:12" x14ac:dyDescent="0.5">
      <c r="A466" t="s">
        <v>489</v>
      </c>
      <c r="B466">
        <v>5564</v>
      </c>
      <c r="C466">
        <v>175</v>
      </c>
      <c r="D466">
        <v>11</v>
      </c>
      <c r="E466" t="s">
        <v>10</v>
      </c>
      <c r="F466" t="s">
        <v>31</v>
      </c>
      <c r="G466" t="s">
        <v>53</v>
      </c>
      <c r="H466" s="1">
        <v>44948</v>
      </c>
      <c r="I466" t="s">
        <v>490</v>
      </c>
      <c r="J466" t="s">
        <v>17</v>
      </c>
      <c r="K466" t="s">
        <v>18</v>
      </c>
      <c r="L466" s="3">
        <f>IF(Sales_Table[[#This Row],[Revenue]]=0,0,Sales_Table[[#This Row],[Revenue]]/Sales_Table[[#This Row],[Profit]])</f>
        <v>31.794285714285714</v>
      </c>
    </row>
    <row r="467" spans="1:12" x14ac:dyDescent="0.5">
      <c r="A467" t="s">
        <v>489</v>
      </c>
      <c r="B467">
        <v>5564</v>
      </c>
      <c r="C467">
        <v>175</v>
      </c>
      <c r="D467">
        <v>11</v>
      </c>
      <c r="E467" t="s">
        <v>10</v>
      </c>
      <c r="F467" t="s">
        <v>31</v>
      </c>
      <c r="G467" t="s">
        <v>53</v>
      </c>
      <c r="H467" s="1">
        <v>44663</v>
      </c>
      <c r="I467" t="s">
        <v>491</v>
      </c>
      <c r="J467" t="s">
        <v>59</v>
      </c>
      <c r="K467" t="s">
        <v>108</v>
      </c>
      <c r="L467" s="3">
        <f>IF(Sales_Table[[#This Row],[Revenue]]=0,0,Sales_Table[[#This Row],[Revenue]]/Sales_Table[[#This Row],[Profit]])</f>
        <v>31.794285714285714</v>
      </c>
    </row>
    <row r="468" spans="1:12" x14ac:dyDescent="0.5">
      <c r="A468" t="s">
        <v>489</v>
      </c>
      <c r="B468">
        <v>5564</v>
      </c>
      <c r="C468">
        <v>175</v>
      </c>
      <c r="D468">
        <v>11</v>
      </c>
      <c r="E468" t="s">
        <v>10</v>
      </c>
      <c r="F468" t="s">
        <v>31</v>
      </c>
      <c r="G468" t="s">
        <v>53</v>
      </c>
      <c r="H468" s="1">
        <v>45273</v>
      </c>
      <c r="I468" t="s">
        <v>492</v>
      </c>
      <c r="J468" t="s">
        <v>14</v>
      </c>
      <c r="K468" t="s">
        <v>15</v>
      </c>
      <c r="L468" s="3">
        <f>IF(Sales_Table[[#This Row],[Revenue]]=0,0,Sales_Table[[#This Row],[Revenue]]/Sales_Table[[#This Row],[Profit]])</f>
        <v>31.794285714285714</v>
      </c>
    </row>
    <row r="469" spans="1:12" x14ac:dyDescent="0.5">
      <c r="A469" t="s">
        <v>489</v>
      </c>
      <c r="B469">
        <v>3953</v>
      </c>
      <c r="C469">
        <v>1776</v>
      </c>
      <c r="D469">
        <v>15</v>
      </c>
      <c r="E469" t="s">
        <v>10</v>
      </c>
      <c r="F469" t="s">
        <v>11</v>
      </c>
      <c r="G469" t="s">
        <v>12</v>
      </c>
      <c r="H469" s="1">
        <v>44948</v>
      </c>
      <c r="I469" t="s">
        <v>490</v>
      </c>
      <c r="J469" t="s">
        <v>17</v>
      </c>
      <c r="K469" t="s">
        <v>18</v>
      </c>
      <c r="L469" s="3">
        <f>IF(Sales_Table[[#This Row],[Revenue]]=0,0,Sales_Table[[#This Row],[Revenue]]/Sales_Table[[#This Row],[Profit]])</f>
        <v>2.2257882882882885</v>
      </c>
    </row>
    <row r="470" spans="1:12" x14ac:dyDescent="0.5">
      <c r="A470" t="s">
        <v>489</v>
      </c>
      <c r="B470">
        <v>3953</v>
      </c>
      <c r="C470">
        <v>1776</v>
      </c>
      <c r="D470">
        <v>15</v>
      </c>
      <c r="E470" t="s">
        <v>10</v>
      </c>
      <c r="F470" t="s">
        <v>11</v>
      </c>
      <c r="G470" t="s">
        <v>12</v>
      </c>
      <c r="H470" s="1">
        <v>44663</v>
      </c>
      <c r="I470" t="s">
        <v>491</v>
      </c>
      <c r="J470" t="s">
        <v>59</v>
      </c>
      <c r="K470" t="s">
        <v>108</v>
      </c>
      <c r="L470" s="3">
        <f>IF(Sales_Table[[#This Row],[Revenue]]=0,0,Sales_Table[[#This Row],[Revenue]]/Sales_Table[[#This Row],[Profit]])</f>
        <v>2.2257882882882885</v>
      </c>
    </row>
    <row r="471" spans="1:12" x14ac:dyDescent="0.5">
      <c r="A471" t="s">
        <v>489</v>
      </c>
      <c r="B471">
        <v>3953</v>
      </c>
      <c r="C471">
        <v>1776</v>
      </c>
      <c r="D471">
        <v>15</v>
      </c>
      <c r="E471" t="s">
        <v>10</v>
      </c>
      <c r="F471" t="s">
        <v>11</v>
      </c>
      <c r="G471" t="s">
        <v>12</v>
      </c>
      <c r="H471" s="1">
        <v>45273</v>
      </c>
      <c r="I471" t="s">
        <v>492</v>
      </c>
      <c r="J471" t="s">
        <v>14</v>
      </c>
      <c r="K471" t="s">
        <v>15</v>
      </c>
      <c r="L471" s="3">
        <f>IF(Sales_Table[[#This Row],[Revenue]]=0,0,Sales_Table[[#This Row],[Revenue]]/Sales_Table[[#This Row],[Profit]])</f>
        <v>2.2257882882882885</v>
      </c>
    </row>
    <row r="472" spans="1:12" x14ac:dyDescent="0.5">
      <c r="A472" t="s">
        <v>493</v>
      </c>
      <c r="B472">
        <v>6488</v>
      </c>
      <c r="C472">
        <v>1591</v>
      </c>
      <c r="D472">
        <v>18</v>
      </c>
      <c r="E472" t="s">
        <v>10</v>
      </c>
      <c r="F472" t="s">
        <v>22</v>
      </c>
      <c r="G472" t="s">
        <v>32</v>
      </c>
      <c r="H472" s="1">
        <v>45070</v>
      </c>
      <c r="I472" t="s">
        <v>494</v>
      </c>
      <c r="J472" t="s">
        <v>59</v>
      </c>
      <c r="K472" t="s">
        <v>60</v>
      </c>
      <c r="L472" s="3">
        <f>IF(Sales_Table[[#This Row],[Revenue]]=0,0,Sales_Table[[#This Row],[Revenue]]/Sales_Table[[#This Row],[Profit]])</f>
        <v>4.0779384035197985</v>
      </c>
    </row>
    <row r="473" spans="1:12" x14ac:dyDescent="0.5">
      <c r="A473" t="s">
        <v>493</v>
      </c>
      <c r="B473">
        <v>6488</v>
      </c>
      <c r="C473">
        <v>1591</v>
      </c>
      <c r="D473">
        <v>18</v>
      </c>
      <c r="E473" t="s">
        <v>10</v>
      </c>
      <c r="F473" t="s">
        <v>22</v>
      </c>
      <c r="G473" t="s">
        <v>32</v>
      </c>
      <c r="H473" s="1">
        <v>44164</v>
      </c>
      <c r="I473" t="s">
        <v>495</v>
      </c>
      <c r="J473" t="s">
        <v>59</v>
      </c>
      <c r="K473" t="s">
        <v>108</v>
      </c>
      <c r="L473" s="3">
        <f>IF(Sales_Table[[#This Row],[Revenue]]=0,0,Sales_Table[[#This Row],[Revenue]]/Sales_Table[[#This Row],[Profit]])</f>
        <v>4.0779384035197985</v>
      </c>
    </row>
    <row r="474" spans="1:12" x14ac:dyDescent="0.5">
      <c r="A474" t="s">
        <v>496</v>
      </c>
      <c r="B474">
        <v>7856</v>
      </c>
      <c r="C474">
        <v>3699</v>
      </c>
      <c r="D474">
        <v>17</v>
      </c>
      <c r="E474" t="s">
        <v>10</v>
      </c>
      <c r="F474" t="s">
        <v>11</v>
      </c>
      <c r="G474" t="s">
        <v>12</v>
      </c>
      <c r="H474" s="1">
        <v>44279</v>
      </c>
      <c r="I474" t="s">
        <v>497</v>
      </c>
      <c r="J474" t="s">
        <v>14</v>
      </c>
      <c r="K474" t="s">
        <v>28</v>
      </c>
      <c r="L474" s="3">
        <f>IF(Sales_Table[[#This Row],[Revenue]]=0,0,Sales_Table[[#This Row],[Revenue]]/Sales_Table[[#This Row],[Profit]])</f>
        <v>2.1238172479048392</v>
      </c>
    </row>
    <row r="475" spans="1:12" x14ac:dyDescent="0.5">
      <c r="A475" t="s">
        <v>496</v>
      </c>
      <c r="B475">
        <v>1165</v>
      </c>
      <c r="C475">
        <v>51</v>
      </c>
      <c r="D475">
        <v>3</v>
      </c>
      <c r="E475" t="s">
        <v>24</v>
      </c>
      <c r="F475" t="s">
        <v>25</v>
      </c>
      <c r="G475" t="s">
        <v>32</v>
      </c>
      <c r="H475" s="1">
        <v>44279</v>
      </c>
      <c r="I475" t="s">
        <v>497</v>
      </c>
      <c r="J475" t="s">
        <v>14</v>
      </c>
      <c r="K475" t="s">
        <v>28</v>
      </c>
      <c r="L475" s="3">
        <f>IF(Sales_Table[[#This Row],[Revenue]]=0,0,Sales_Table[[#This Row],[Revenue]]/Sales_Table[[#This Row],[Profit]])</f>
        <v>22.843137254901961</v>
      </c>
    </row>
    <row r="476" spans="1:12" x14ac:dyDescent="0.5">
      <c r="A476" t="s">
        <v>498</v>
      </c>
      <c r="B476">
        <v>9386</v>
      </c>
      <c r="C476">
        <v>2555</v>
      </c>
      <c r="D476">
        <v>20</v>
      </c>
      <c r="E476" t="s">
        <v>24</v>
      </c>
      <c r="F476" t="s">
        <v>46</v>
      </c>
      <c r="G476" t="s">
        <v>38</v>
      </c>
      <c r="H476" s="1">
        <v>44062</v>
      </c>
      <c r="I476" t="s">
        <v>499</v>
      </c>
      <c r="J476" t="s">
        <v>34</v>
      </c>
      <c r="K476" t="s">
        <v>62</v>
      </c>
      <c r="L476" s="3">
        <f>IF(Sales_Table[[#This Row],[Revenue]]=0,0,Sales_Table[[#This Row],[Revenue]]/Sales_Table[[#This Row],[Profit]])</f>
        <v>3.6735812133072407</v>
      </c>
    </row>
    <row r="477" spans="1:12" x14ac:dyDescent="0.5">
      <c r="A477" t="s">
        <v>498</v>
      </c>
      <c r="B477">
        <v>9386</v>
      </c>
      <c r="C477">
        <v>2555</v>
      </c>
      <c r="D477">
        <v>20</v>
      </c>
      <c r="E477" t="s">
        <v>24</v>
      </c>
      <c r="F477" t="s">
        <v>46</v>
      </c>
      <c r="G477" t="s">
        <v>38</v>
      </c>
      <c r="H477" s="1">
        <v>44854</v>
      </c>
      <c r="I477" t="s">
        <v>500</v>
      </c>
      <c r="J477" t="s">
        <v>79</v>
      </c>
      <c r="K477" t="s">
        <v>94</v>
      </c>
      <c r="L477" s="3">
        <f>IF(Sales_Table[[#This Row],[Revenue]]=0,0,Sales_Table[[#This Row],[Revenue]]/Sales_Table[[#This Row],[Profit]])</f>
        <v>3.6735812133072407</v>
      </c>
    </row>
    <row r="478" spans="1:12" x14ac:dyDescent="0.5">
      <c r="A478" t="s">
        <v>501</v>
      </c>
      <c r="B478">
        <v>3956</v>
      </c>
      <c r="C478">
        <v>142</v>
      </c>
      <c r="D478">
        <v>12</v>
      </c>
      <c r="E478" t="s">
        <v>24</v>
      </c>
      <c r="F478" t="s">
        <v>25</v>
      </c>
      <c r="G478" t="s">
        <v>26</v>
      </c>
      <c r="H478" s="1">
        <v>45189</v>
      </c>
      <c r="I478" t="s">
        <v>502</v>
      </c>
      <c r="J478" t="s">
        <v>14</v>
      </c>
      <c r="K478" t="s">
        <v>118</v>
      </c>
      <c r="L478" s="3">
        <f>IF(Sales_Table[[#This Row],[Revenue]]=0,0,Sales_Table[[#This Row],[Revenue]]/Sales_Table[[#This Row],[Profit]])</f>
        <v>27.859154929577464</v>
      </c>
    </row>
    <row r="479" spans="1:12" x14ac:dyDescent="0.5">
      <c r="A479" t="s">
        <v>501</v>
      </c>
      <c r="B479">
        <v>3956</v>
      </c>
      <c r="C479">
        <v>142</v>
      </c>
      <c r="D479">
        <v>12</v>
      </c>
      <c r="E479" t="s">
        <v>24</v>
      </c>
      <c r="F479" t="s">
        <v>25</v>
      </c>
      <c r="G479" t="s">
        <v>26</v>
      </c>
      <c r="H479" s="1">
        <v>45652</v>
      </c>
      <c r="I479" t="s">
        <v>503</v>
      </c>
      <c r="J479" t="s">
        <v>59</v>
      </c>
      <c r="K479" t="s">
        <v>60</v>
      </c>
      <c r="L479" s="3">
        <f>IF(Sales_Table[[#This Row],[Revenue]]=0,0,Sales_Table[[#This Row],[Revenue]]/Sales_Table[[#This Row],[Profit]])</f>
        <v>27.859154929577464</v>
      </c>
    </row>
    <row r="480" spans="1:12" x14ac:dyDescent="0.5">
      <c r="A480" t="s">
        <v>501</v>
      </c>
      <c r="B480">
        <v>6449</v>
      </c>
      <c r="C480">
        <v>2628</v>
      </c>
      <c r="D480">
        <v>11</v>
      </c>
      <c r="E480" t="s">
        <v>36</v>
      </c>
      <c r="F480" t="s">
        <v>87</v>
      </c>
      <c r="G480" t="s">
        <v>32</v>
      </c>
      <c r="H480" s="1">
        <v>45189</v>
      </c>
      <c r="I480" t="s">
        <v>502</v>
      </c>
      <c r="J480" t="s">
        <v>14</v>
      </c>
      <c r="K480" t="s">
        <v>118</v>
      </c>
      <c r="L480" s="3">
        <f>IF(Sales_Table[[#This Row],[Revenue]]=0,0,Sales_Table[[#This Row],[Revenue]]/Sales_Table[[#This Row],[Profit]])</f>
        <v>2.4539573820395737</v>
      </c>
    </row>
    <row r="481" spans="1:12" x14ac:dyDescent="0.5">
      <c r="A481" t="s">
        <v>501</v>
      </c>
      <c r="B481">
        <v>6449</v>
      </c>
      <c r="C481">
        <v>2628</v>
      </c>
      <c r="D481">
        <v>11</v>
      </c>
      <c r="E481" t="s">
        <v>36</v>
      </c>
      <c r="F481" t="s">
        <v>87</v>
      </c>
      <c r="G481" t="s">
        <v>32</v>
      </c>
      <c r="H481" s="1">
        <v>45652</v>
      </c>
      <c r="I481" t="s">
        <v>503</v>
      </c>
      <c r="J481" t="s">
        <v>59</v>
      </c>
      <c r="K481" t="s">
        <v>60</v>
      </c>
      <c r="L481" s="3">
        <f>IF(Sales_Table[[#This Row],[Revenue]]=0,0,Sales_Table[[#This Row],[Revenue]]/Sales_Table[[#This Row],[Profit]])</f>
        <v>2.4539573820395737</v>
      </c>
    </row>
    <row r="482" spans="1:12" x14ac:dyDescent="0.5">
      <c r="A482" t="s">
        <v>504</v>
      </c>
      <c r="B482">
        <v>6255</v>
      </c>
      <c r="C482">
        <v>437</v>
      </c>
      <c r="D482">
        <v>18</v>
      </c>
      <c r="E482" t="s">
        <v>24</v>
      </c>
      <c r="F482" t="s">
        <v>46</v>
      </c>
      <c r="G482" t="s">
        <v>53</v>
      </c>
      <c r="H482" s="1">
        <v>44533</v>
      </c>
      <c r="I482" t="s">
        <v>505</v>
      </c>
      <c r="J482" t="s">
        <v>20</v>
      </c>
      <c r="K482" t="s">
        <v>56</v>
      </c>
      <c r="L482" s="3">
        <f>IF(Sales_Table[[#This Row],[Revenue]]=0,0,Sales_Table[[#This Row],[Revenue]]/Sales_Table[[#This Row],[Profit]])</f>
        <v>14.313501144164761</v>
      </c>
    </row>
    <row r="483" spans="1:12" x14ac:dyDescent="0.5">
      <c r="A483" t="s">
        <v>504</v>
      </c>
      <c r="B483">
        <v>2109</v>
      </c>
      <c r="C483">
        <v>681</v>
      </c>
      <c r="D483">
        <v>20</v>
      </c>
      <c r="E483" t="s">
        <v>10</v>
      </c>
      <c r="F483" t="s">
        <v>11</v>
      </c>
      <c r="G483" t="s">
        <v>12</v>
      </c>
      <c r="H483" s="1">
        <v>44533</v>
      </c>
      <c r="I483" t="s">
        <v>505</v>
      </c>
      <c r="J483" t="s">
        <v>20</v>
      </c>
      <c r="K483" t="s">
        <v>56</v>
      </c>
      <c r="L483" s="3">
        <f>IF(Sales_Table[[#This Row],[Revenue]]=0,0,Sales_Table[[#This Row],[Revenue]]/Sales_Table[[#This Row],[Profit]])</f>
        <v>3.0969162995594712</v>
      </c>
    </row>
    <row r="484" spans="1:12" x14ac:dyDescent="0.5">
      <c r="A484" t="s">
        <v>506</v>
      </c>
      <c r="B484">
        <v>6707</v>
      </c>
      <c r="C484">
        <v>1041</v>
      </c>
      <c r="D484">
        <v>20</v>
      </c>
      <c r="E484" t="s">
        <v>10</v>
      </c>
      <c r="F484" t="s">
        <v>67</v>
      </c>
      <c r="G484" t="s">
        <v>38</v>
      </c>
      <c r="H484" s="1">
        <v>44453</v>
      </c>
      <c r="I484" t="s">
        <v>507</v>
      </c>
      <c r="J484" t="s">
        <v>59</v>
      </c>
      <c r="K484" t="s">
        <v>71</v>
      </c>
      <c r="L484" s="3">
        <f>IF(Sales_Table[[#This Row],[Revenue]]=0,0,Sales_Table[[#This Row],[Revenue]]/Sales_Table[[#This Row],[Profit]])</f>
        <v>6.442843419788665</v>
      </c>
    </row>
    <row r="485" spans="1:12" x14ac:dyDescent="0.5">
      <c r="A485" t="s">
        <v>508</v>
      </c>
      <c r="B485">
        <v>7633</v>
      </c>
      <c r="C485">
        <v>184</v>
      </c>
      <c r="D485">
        <v>13</v>
      </c>
      <c r="E485" t="s">
        <v>24</v>
      </c>
      <c r="F485" t="s">
        <v>25</v>
      </c>
      <c r="G485" t="s">
        <v>53</v>
      </c>
      <c r="H485" s="1">
        <v>44469</v>
      </c>
      <c r="I485" t="s">
        <v>509</v>
      </c>
      <c r="J485" t="s">
        <v>17</v>
      </c>
      <c r="K485" t="s">
        <v>51</v>
      </c>
      <c r="L485" s="3">
        <f>IF(Sales_Table[[#This Row],[Revenue]]=0,0,Sales_Table[[#This Row],[Revenue]]/Sales_Table[[#This Row],[Profit]])</f>
        <v>41.483695652173914</v>
      </c>
    </row>
    <row r="486" spans="1:12" x14ac:dyDescent="0.5">
      <c r="A486" t="s">
        <v>510</v>
      </c>
      <c r="B486">
        <v>975</v>
      </c>
      <c r="C486">
        <v>224</v>
      </c>
      <c r="D486">
        <v>18</v>
      </c>
      <c r="E486" t="s">
        <v>24</v>
      </c>
      <c r="F486" t="s">
        <v>25</v>
      </c>
      <c r="G486" t="s">
        <v>53</v>
      </c>
      <c r="H486" s="1">
        <v>44552</v>
      </c>
      <c r="I486" t="s">
        <v>511</v>
      </c>
      <c r="J486" t="s">
        <v>34</v>
      </c>
      <c r="K486" t="s">
        <v>62</v>
      </c>
      <c r="L486" s="3">
        <f>IF(Sales_Table[[#This Row],[Revenue]]=0,0,Sales_Table[[#This Row],[Revenue]]/Sales_Table[[#This Row],[Profit]])</f>
        <v>4.3526785714285712</v>
      </c>
    </row>
    <row r="487" spans="1:12" x14ac:dyDescent="0.5">
      <c r="A487" t="s">
        <v>510</v>
      </c>
      <c r="B487">
        <v>4492</v>
      </c>
      <c r="C487">
        <v>1450</v>
      </c>
      <c r="D487">
        <v>7</v>
      </c>
      <c r="E487" t="s">
        <v>36</v>
      </c>
      <c r="F487" t="s">
        <v>37</v>
      </c>
      <c r="G487" t="s">
        <v>32</v>
      </c>
      <c r="H487" s="1">
        <v>44552</v>
      </c>
      <c r="I487" t="s">
        <v>511</v>
      </c>
      <c r="J487" t="s">
        <v>34</v>
      </c>
      <c r="K487" t="s">
        <v>62</v>
      </c>
      <c r="L487" s="3">
        <f>IF(Sales_Table[[#This Row],[Revenue]]=0,0,Sales_Table[[#This Row],[Revenue]]/Sales_Table[[#This Row],[Profit]])</f>
        <v>3.0979310344827584</v>
      </c>
    </row>
    <row r="488" spans="1:12" x14ac:dyDescent="0.5">
      <c r="A488" t="s">
        <v>510</v>
      </c>
      <c r="B488">
        <v>7957</v>
      </c>
      <c r="C488">
        <v>2834</v>
      </c>
      <c r="D488">
        <v>12</v>
      </c>
      <c r="E488" t="s">
        <v>36</v>
      </c>
      <c r="F488" t="s">
        <v>40</v>
      </c>
      <c r="G488" t="s">
        <v>12</v>
      </c>
      <c r="H488" s="1">
        <v>44552</v>
      </c>
      <c r="I488" t="s">
        <v>511</v>
      </c>
      <c r="J488" t="s">
        <v>34</v>
      </c>
      <c r="K488" t="s">
        <v>62</v>
      </c>
      <c r="L488" s="3">
        <f>IF(Sales_Table[[#This Row],[Revenue]]=0,0,Sales_Table[[#This Row],[Revenue]]/Sales_Table[[#This Row],[Profit]])</f>
        <v>2.8076923076923075</v>
      </c>
    </row>
    <row r="489" spans="1:12" x14ac:dyDescent="0.5">
      <c r="A489" t="s">
        <v>512</v>
      </c>
      <c r="B489">
        <v>4906</v>
      </c>
      <c r="C489">
        <v>975</v>
      </c>
      <c r="D489">
        <v>7</v>
      </c>
      <c r="E489" t="s">
        <v>36</v>
      </c>
      <c r="F489" t="s">
        <v>37</v>
      </c>
      <c r="G489" t="s">
        <v>26</v>
      </c>
      <c r="H489" s="1">
        <v>44699</v>
      </c>
      <c r="I489" t="s">
        <v>513</v>
      </c>
      <c r="J489" t="s">
        <v>59</v>
      </c>
      <c r="K489" t="s">
        <v>108</v>
      </c>
      <c r="L489" s="3">
        <f>IF(Sales_Table[[#This Row],[Revenue]]=0,0,Sales_Table[[#This Row],[Revenue]]/Sales_Table[[#This Row],[Profit]])</f>
        <v>5.0317948717948715</v>
      </c>
    </row>
    <row r="490" spans="1:12" x14ac:dyDescent="0.5">
      <c r="A490" t="s">
        <v>514</v>
      </c>
      <c r="B490">
        <v>1379</v>
      </c>
      <c r="C490">
        <v>250</v>
      </c>
      <c r="D490">
        <v>3</v>
      </c>
      <c r="E490" t="s">
        <v>24</v>
      </c>
      <c r="F490" t="s">
        <v>25</v>
      </c>
      <c r="G490" t="s">
        <v>38</v>
      </c>
      <c r="H490" s="1">
        <v>44112</v>
      </c>
      <c r="I490" t="s">
        <v>515</v>
      </c>
      <c r="J490" t="s">
        <v>20</v>
      </c>
      <c r="K490" t="s">
        <v>21</v>
      </c>
      <c r="L490" s="3">
        <f>IF(Sales_Table[[#This Row],[Revenue]]=0,0,Sales_Table[[#This Row],[Revenue]]/Sales_Table[[#This Row],[Profit]])</f>
        <v>5.516</v>
      </c>
    </row>
    <row r="491" spans="1:12" x14ac:dyDescent="0.5">
      <c r="A491" t="s">
        <v>514</v>
      </c>
      <c r="B491">
        <v>4244</v>
      </c>
      <c r="C491">
        <v>340</v>
      </c>
      <c r="D491">
        <v>10</v>
      </c>
      <c r="E491" t="s">
        <v>10</v>
      </c>
      <c r="F491" t="s">
        <v>31</v>
      </c>
      <c r="G491" t="s">
        <v>26</v>
      </c>
      <c r="H491" s="1">
        <v>44112</v>
      </c>
      <c r="I491" t="s">
        <v>515</v>
      </c>
      <c r="J491" t="s">
        <v>20</v>
      </c>
      <c r="K491" t="s">
        <v>21</v>
      </c>
      <c r="L491" s="3">
        <f>IF(Sales_Table[[#This Row],[Revenue]]=0,0,Sales_Table[[#This Row],[Revenue]]/Sales_Table[[#This Row],[Profit]])</f>
        <v>12.482352941176471</v>
      </c>
    </row>
    <row r="492" spans="1:12" x14ac:dyDescent="0.5">
      <c r="A492" t="s">
        <v>516</v>
      </c>
      <c r="B492">
        <v>5911</v>
      </c>
      <c r="C492">
        <v>2333</v>
      </c>
      <c r="D492">
        <v>14</v>
      </c>
      <c r="E492" t="s">
        <v>36</v>
      </c>
      <c r="F492" t="s">
        <v>87</v>
      </c>
      <c r="G492" t="s">
        <v>32</v>
      </c>
      <c r="H492" s="1">
        <v>44793</v>
      </c>
      <c r="I492" t="s">
        <v>517</v>
      </c>
      <c r="J492" t="s">
        <v>34</v>
      </c>
      <c r="K492" t="s">
        <v>62</v>
      </c>
      <c r="L492" s="3">
        <f>IF(Sales_Table[[#This Row],[Revenue]]=0,0,Sales_Table[[#This Row],[Revenue]]/Sales_Table[[#This Row],[Profit]])</f>
        <v>2.5336476639519931</v>
      </c>
    </row>
    <row r="493" spans="1:12" x14ac:dyDescent="0.5">
      <c r="A493" t="s">
        <v>516</v>
      </c>
      <c r="B493">
        <v>5911</v>
      </c>
      <c r="C493">
        <v>2333</v>
      </c>
      <c r="D493">
        <v>14</v>
      </c>
      <c r="E493" t="s">
        <v>36</v>
      </c>
      <c r="F493" t="s">
        <v>87</v>
      </c>
      <c r="G493" t="s">
        <v>32</v>
      </c>
      <c r="H493" s="1">
        <v>45621</v>
      </c>
      <c r="I493" t="s">
        <v>518</v>
      </c>
      <c r="J493" t="s">
        <v>34</v>
      </c>
      <c r="K493" t="s">
        <v>75</v>
      </c>
      <c r="L493" s="3">
        <f>IF(Sales_Table[[#This Row],[Revenue]]=0,0,Sales_Table[[#This Row],[Revenue]]/Sales_Table[[#This Row],[Profit]])</f>
        <v>2.5336476639519931</v>
      </c>
    </row>
    <row r="494" spans="1:12" x14ac:dyDescent="0.5">
      <c r="A494" t="s">
        <v>516</v>
      </c>
      <c r="B494">
        <v>1818</v>
      </c>
      <c r="C494">
        <v>738</v>
      </c>
      <c r="D494">
        <v>11</v>
      </c>
      <c r="E494" t="s">
        <v>24</v>
      </c>
      <c r="F494" t="s">
        <v>46</v>
      </c>
      <c r="G494" t="s">
        <v>32</v>
      </c>
      <c r="H494" s="1">
        <v>44793</v>
      </c>
      <c r="I494" t="s">
        <v>517</v>
      </c>
      <c r="J494" t="s">
        <v>34</v>
      </c>
      <c r="K494" t="s">
        <v>62</v>
      </c>
      <c r="L494" s="3">
        <f>IF(Sales_Table[[#This Row],[Revenue]]=0,0,Sales_Table[[#This Row],[Revenue]]/Sales_Table[[#This Row],[Profit]])</f>
        <v>2.4634146341463414</v>
      </c>
    </row>
    <row r="495" spans="1:12" x14ac:dyDescent="0.5">
      <c r="A495" t="s">
        <v>516</v>
      </c>
      <c r="B495">
        <v>1818</v>
      </c>
      <c r="C495">
        <v>738</v>
      </c>
      <c r="D495">
        <v>11</v>
      </c>
      <c r="E495" t="s">
        <v>24</v>
      </c>
      <c r="F495" t="s">
        <v>46</v>
      </c>
      <c r="G495" t="s">
        <v>32</v>
      </c>
      <c r="H495" s="1">
        <v>45621</v>
      </c>
      <c r="I495" t="s">
        <v>518</v>
      </c>
      <c r="J495" t="s">
        <v>34</v>
      </c>
      <c r="K495" t="s">
        <v>75</v>
      </c>
      <c r="L495" s="3">
        <f>IF(Sales_Table[[#This Row],[Revenue]]=0,0,Sales_Table[[#This Row],[Revenue]]/Sales_Table[[#This Row],[Profit]])</f>
        <v>2.4634146341463414</v>
      </c>
    </row>
    <row r="496" spans="1:12" x14ac:dyDescent="0.5">
      <c r="A496" t="s">
        <v>519</v>
      </c>
      <c r="B496">
        <v>2140</v>
      </c>
      <c r="C496">
        <v>970</v>
      </c>
      <c r="D496">
        <v>4</v>
      </c>
      <c r="E496" t="s">
        <v>24</v>
      </c>
      <c r="F496" t="s">
        <v>52</v>
      </c>
      <c r="G496" t="s">
        <v>38</v>
      </c>
      <c r="H496" s="1">
        <v>44104</v>
      </c>
      <c r="I496" t="s">
        <v>520</v>
      </c>
      <c r="J496" t="s">
        <v>34</v>
      </c>
      <c r="K496" t="s">
        <v>62</v>
      </c>
      <c r="L496" s="3">
        <f>IF(Sales_Table[[#This Row],[Revenue]]=0,0,Sales_Table[[#This Row],[Revenue]]/Sales_Table[[#This Row],[Profit]])</f>
        <v>2.2061855670103094</v>
      </c>
    </row>
    <row r="497" spans="1:12" x14ac:dyDescent="0.5">
      <c r="A497" t="s">
        <v>519</v>
      </c>
      <c r="B497">
        <v>2140</v>
      </c>
      <c r="C497">
        <v>970</v>
      </c>
      <c r="D497">
        <v>4</v>
      </c>
      <c r="E497" t="s">
        <v>24</v>
      </c>
      <c r="F497" t="s">
        <v>52</v>
      </c>
      <c r="G497" t="s">
        <v>38</v>
      </c>
      <c r="H497" s="1">
        <v>45708</v>
      </c>
      <c r="I497" t="s">
        <v>521</v>
      </c>
      <c r="J497" t="s">
        <v>14</v>
      </c>
      <c r="K497" t="s">
        <v>28</v>
      </c>
      <c r="L497" s="3">
        <f>IF(Sales_Table[[#This Row],[Revenue]]=0,0,Sales_Table[[#This Row],[Revenue]]/Sales_Table[[#This Row],[Profit]])</f>
        <v>2.2061855670103094</v>
      </c>
    </row>
    <row r="498" spans="1:12" x14ac:dyDescent="0.5">
      <c r="A498" t="s">
        <v>519</v>
      </c>
      <c r="B498">
        <v>2140</v>
      </c>
      <c r="C498">
        <v>970</v>
      </c>
      <c r="D498">
        <v>4</v>
      </c>
      <c r="E498" t="s">
        <v>24</v>
      </c>
      <c r="F498" t="s">
        <v>52</v>
      </c>
      <c r="G498" t="s">
        <v>38</v>
      </c>
      <c r="H498" s="1">
        <v>44640</v>
      </c>
      <c r="I498" t="s">
        <v>522</v>
      </c>
      <c r="J498" t="s">
        <v>34</v>
      </c>
      <c r="K498" t="s">
        <v>75</v>
      </c>
      <c r="L498" s="3">
        <f>IF(Sales_Table[[#This Row],[Revenue]]=0,0,Sales_Table[[#This Row],[Revenue]]/Sales_Table[[#This Row],[Profit]])</f>
        <v>2.2061855670103094</v>
      </c>
    </row>
    <row r="499" spans="1:12" x14ac:dyDescent="0.5">
      <c r="A499" t="s">
        <v>519</v>
      </c>
      <c r="B499">
        <v>2670</v>
      </c>
      <c r="C499">
        <v>1026</v>
      </c>
      <c r="D499">
        <v>1</v>
      </c>
      <c r="E499" t="s">
        <v>10</v>
      </c>
      <c r="F499" t="s">
        <v>31</v>
      </c>
      <c r="G499" t="s">
        <v>26</v>
      </c>
      <c r="H499" s="1">
        <v>44104</v>
      </c>
      <c r="I499" t="s">
        <v>520</v>
      </c>
      <c r="J499" t="s">
        <v>34</v>
      </c>
      <c r="K499" t="s">
        <v>62</v>
      </c>
      <c r="L499" s="3">
        <f>IF(Sales_Table[[#This Row],[Revenue]]=0,0,Sales_Table[[#This Row],[Revenue]]/Sales_Table[[#This Row],[Profit]])</f>
        <v>2.6023391812865495</v>
      </c>
    </row>
    <row r="500" spans="1:12" x14ac:dyDescent="0.5">
      <c r="A500" t="s">
        <v>519</v>
      </c>
      <c r="B500">
        <v>2670</v>
      </c>
      <c r="C500">
        <v>1026</v>
      </c>
      <c r="D500">
        <v>1</v>
      </c>
      <c r="E500" t="s">
        <v>10</v>
      </c>
      <c r="F500" t="s">
        <v>31</v>
      </c>
      <c r="G500" t="s">
        <v>26</v>
      </c>
      <c r="H500" s="1">
        <v>45708</v>
      </c>
      <c r="I500" t="s">
        <v>521</v>
      </c>
      <c r="J500" t="s">
        <v>14</v>
      </c>
      <c r="K500" t="s">
        <v>28</v>
      </c>
      <c r="L500" s="3">
        <f>IF(Sales_Table[[#This Row],[Revenue]]=0,0,Sales_Table[[#This Row],[Revenue]]/Sales_Table[[#This Row],[Profit]])</f>
        <v>2.6023391812865495</v>
      </c>
    </row>
    <row r="501" spans="1:12" x14ac:dyDescent="0.5">
      <c r="A501" t="s">
        <v>519</v>
      </c>
      <c r="B501">
        <v>2670</v>
      </c>
      <c r="C501">
        <v>1026</v>
      </c>
      <c r="D501">
        <v>1</v>
      </c>
      <c r="E501" t="s">
        <v>10</v>
      </c>
      <c r="F501" t="s">
        <v>31</v>
      </c>
      <c r="G501" t="s">
        <v>26</v>
      </c>
      <c r="H501" s="1">
        <v>44640</v>
      </c>
      <c r="I501" t="s">
        <v>522</v>
      </c>
      <c r="J501" t="s">
        <v>34</v>
      </c>
      <c r="K501" t="s">
        <v>75</v>
      </c>
      <c r="L501" s="3">
        <f>IF(Sales_Table[[#This Row],[Revenue]]=0,0,Sales_Table[[#This Row],[Revenue]]/Sales_Table[[#This Row],[Profit]])</f>
        <v>2.6023391812865495</v>
      </c>
    </row>
    <row r="502" spans="1:12" x14ac:dyDescent="0.5">
      <c r="A502" t="s">
        <v>523</v>
      </c>
      <c r="B502">
        <v>1108</v>
      </c>
      <c r="C502">
        <v>167</v>
      </c>
      <c r="D502">
        <v>18</v>
      </c>
      <c r="E502" t="s">
        <v>10</v>
      </c>
      <c r="F502" t="s">
        <v>31</v>
      </c>
      <c r="G502" t="s">
        <v>26</v>
      </c>
      <c r="H502" s="1">
        <v>45723</v>
      </c>
      <c r="I502" t="s">
        <v>524</v>
      </c>
      <c r="J502" t="s">
        <v>17</v>
      </c>
      <c r="K502" t="s">
        <v>51</v>
      </c>
      <c r="L502" s="3">
        <f>IF(Sales_Table[[#This Row],[Revenue]]=0,0,Sales_Table[[#This Row],[Revenue]]/Sales_Table[[#This Row],[Profit]])</f>
        <v>6.634730538922156</v>
      </c>
    </row>
    <row r="503" spans="1:12" x14ac:dyDescent="0.5">
      <c r="A503" t="s">
        <v>523</v>
      </c>
      <c r="B503">
        <v>9776</v>
      </c>
      <c r="C503">
        <v>3750</v>
      </c>
      <c r="D503">
        <v>9</v>
      </c>
      <c r="E503" t="s">
        <v>24</v>
      </c>
      <c r="F503" t="s">
        <v>64</v>
      </c>
      <c r="G503" t="s">
        <v>12</v>
      </c>
      <c r="H503" s="1">
        <v>45723</v>
      </c>
      <c r="I503" t="s">
        <v>524</v>
      </c>
      <c r="J503" t="s">
        <v>17</v>
      </c>
      <c r="K503" t="s">
        <v>51</v>
      </c>
      <c r="L503" s="3">
        <f>IF(Sales_Table[[#This Row],[Revenue]]=0,0,Sales_Table[[#This Row],[Revenue]]/Sales_Table[[#This Row],[Profit]])</f>
        <v>2.6069333333333335</v>
      </c>
    </row>
    <row r="504" spans="1:12" x14ac:dyDescent="0.5">
      <c r="A504" t="s">
        <v>523</v>
      </c>
      <c r="B504">
        <v>535</v>
      </c>
      <c r="C504">
        <v>72</v>
      </c>
      <c r="D504">
        <v>6</v>
      </c>
      <c r="E504" t="s">
        <v>36</v>
      </c>
      <c r="F504" t="s">
        <v>87</v>
      </c>
      <c r="G504" t="s">
        <v>53</v>
      </c>
      <c r="H504" s="1">
        <v>45723</v>
      </c>
      <c r="I504" t="s">
        <v>524</v>
      </c>
      <c r="J504" t="s">
        <v>17</v>
      </c>
      <c r="K504" t="s">
        <v>51</v>
      </c>
      <c r="L504" s="3">
        <f>IF(Sales_Table[[#This Row],[Revenue]]=0,0,Sales_Table[[#This Row],[Revenue]]/Sales_Table[[#This Row],[Profit]])</f>
        <v>7.4305555555555554</v>
      </c>
    </row>
    <row r="505" spans="1:12" x14ac:dyDescent="0.5">
      <c r="A505" t="s">
        <v>525</v>
      </c>
      <c r="B505">
        <v>7564</v>
      </c>
      <c r="C505">
        <v>3463</v>
      </c>
      <c r="D505">
        <v>5</v>
      </c>
      <c r="E505" t="s">
        <v>24</v>
      </c>
      <c r="F505" t="s">
        <v>52</v>
      </c>
      <c r="G505" t="s">
        <v>38</v>
      </c>
      <c r="H505" s="1">
        <v>45459</v>
      </c>
      <c r="I505" t="s">
        <v>526</v>
      </c>
      <c r="J505" t="s">
        <v>14</v>
      </c>
      <c r="K505" t="s">
        <v>118</v>
      </c>
      <c r="L505" s="3">
        <f>IF(Sales_Table[[#This Row],[Revenue]]=0,0,Sales_Table[[#This Row],[Revenue]]/Sales_Table[[#This Row],[Profit]])</f>
        <v>2.184233323707768</v>
      </c>
    </row>
    <row r="506" spans="1:12" x14ac:dyDescent="0.5">
      <c r="A506" t="s">
        <v>525</v>
      </c>
      <c r="B506">
        <v>7564</v>
      </c>
      <c r="C506">
        <v>3463</v>
      </c>
      <c r="D506">
        <v>5</v>
      </c>
      <c r="E506" t="s">
        <v>24</v>
      </c>
      <c r="F506" t="s">
        <v>52</v>
      </c>
      <c r="G506" t="s">
        <v>38</v>
      </c>
      <c r="H506" s="1">
        <v>44156</v>
      </c>
      <c r="I506" t="s">
        <v>527</v>
      </c>
      <c r="J506" t="s">
        <v>17</v>
      </c>
      <c r="K506" t="s">
        <v>134</v>
      </c>
      <c r="L506" s="3">
        <f>IF(Sales_Table[[#This Row],[Revenue]]=0,0,Sales_Table[[#This Row],[Revenue]]/Sales_Table[[#This Row],[Profit]])</f>
        <v>2.184233323707768</v>
      </c>
    </row>
    <row r="507" spans="1:12" x14ac:dyDescent="0.5">
      <c r="A507" t="s">
        <v>525</v>
      </c>
      <c r="B507">
        <v>7564</v>
      </c>
      <c r="C507">
        <v>3463</v>
      </c>
      <c r="D507">
        <v>5</v>
      </c>
      <c r="E507" t="s">
        <v>24</v>
      </c>
      <c r="F507" t="s">
        <v>52</v>
      </c>
      <c r="G507" t="s">
        <v>38</v>
      </c>
      <c r="H507" s="1">
        <v>45566</v>
      </c>
      <c r="I507" t="s">
        <v>528</v>
      </c>
      <c r="J507" t="s">
        <v>14</v>
      </c>
      <c r="K507" t="s">
        <v>15</v>
      </c>
      <c r="L507" s="3">
        <f>IF(Sales_Table[[#This Row],[Revenue]]=0,0,Sales_Table[[#This Row],[Revenue]]/Sales_Table[[#This Row],[Profit]])</f>
        <v>2.184233323707768</v>
      </c>
    </row>
    <row r="508" spans="1:12" x14ac:dyDescent="0.5">
      <c r="A508" t="s">
        <v>525</v>
      </c>
      <c r="B508">
        <v>7564</v>
      </c>
      <c r="C508">
        <v>3463</v>
      </c>
      <c r="D508">
        <v>5</v>
      </c>
      <c r="E508" t="s">
        <v>24</v>
      </c>
      <c r="F508" t="s">
        <v>52</v>
      </c>
      <c r="G508" t="s">
        <v>38</v>
      </c>
      <c r="H508" s="1">
        <v>45474</v>
      </c>
      <c r="I508" t="s">
        <v>529</v>
      </c>
      <c r="J508" t="s">
        <v>59</v>
      </c>
      <c r="K508" t="s">
        <v>108</v>
      </c>
      <c r="L508" s="3">
        <f>IF(Sales_Table[[#This Row],[Revenue]]=0,0,Sales_Table[[#This Row],[Revenue]]/Sales_Table[[#This Row],[Profit]])</f>
        <v>2.184233323707768</v>
      </c>
    </row>
    <row r="509" spans="1:12" x14ac:dyDescent="0.5">
      <c r="A509" t="s">
        <v>525</v>
      </c>
      <c r="B509">
        <v>3409</v>
      </c>
      <c r="C509">
        <v>1605</v>
      </c>
      <c r="D509">
        <v>20</v>
      </c>
      <c r="E509" t="s">
        <v>10</v>
      </c>
      <c r="F509" t="s">
        <v>11</v>
      </c>
      <c r="G509" t="s">
        <v>12</v>
      </c>
      <c r="H509" s="1">
        <v>45459</v>
      </c>
      <c r="I509" t="s">
        <v>526</v>
      </c>
      <c r="J509" t="s">
        <v>14</v>
      </c>
      <c r="K509" t="s">
        <v>118</v>
      </c>
      <c r="L509" s="3">
        <f>IF(Sales_Table[[#This Row],[Revenue]]=0,0,Sales_Table[[#This Row],[Revenue]]/Sales_Table[[#This Row],[Profit]])</f>
        <v>2.1239875389408098</v>
      </c>
    </row>
    <row r="510" spans="1:12" x14ac:dyDescent="0.5">
      <c r="A510" t="s">
        <v>525</v>
      </c>
      <c r="B510">
        <v>3409</v>
      </c>
      <c r="C510">
        <v>1605</v>
      </c>
      <c r="D510">
        <v>20</v>
      </c>
      <c r="E510" t="s">
        <v>10</v>
      </c>
      <c r="F510" t="s">
        <v>11</v>
      </c>
      <c r="G510" t="s">
        <v>12</v>
      </c>
      <c r="H510" s="1">
        <v>44156</v>
      </c>
      <c r="I510" t="s">
        <v>527</v>
      </c>
      <c r="J510" t="s">
        <v>17</v>
      </c>
      <c r="K510" t="s">
        <v>134</v>
      </c>
      <c r="L510" s="3">
        <f>IF(Sales_Table[[#This Row],[Revenue]]=0,0,Sales_Table[[#This Row],[Revenue]]/Sales_Table[[#This Row],[Profit]])</f>
        <v>2.1239875389408098</v>
      </c>
    </row>
    <row r="511" spans="1:12" x14ac:dyDescent="0.5">
      <c r="A511" t="s">
        <v>525</v>
      </c>
      <c r="B511">
        <v>3409</v>
      </c>
      <c r="C511">
        <v>1605</v>
      </c>
      <c r="D511">
        <v>20</v>
      </c>
      <c r="E511" t="s">
        <v>10</v>
      </c>
      <c r="F511" t="s">
        <v>11</v>
      </c>
      <c r="G511" t="s">
        <v>12</v>
      </c>
      <c r="H511" s="1">
        <v>45566</v>
      </c>
      <c r="I511" t="s">
        <v>528</v>
      </c>
      <c r="J511" t="s">
        <v>14</v>
      </c>
      <c r="K511" t="s">
        <v>15</v>
      </c>
      <c r="L511" s="3">
        <f>IF(Sales_Table[[#This Row],[Revenue]]=0,0,Sales_Table[[#This Row],[Revenue]]/Sales_Table[[#This Row],[Profit]])</f>
        <v>2.1239875389408098</v>
      </c>
    </row>
    <row r="512" spans="1:12" x14ac:dyDescent="0.5">
      <c r="A512" t="s">
        <v>525</v>
      </c>
      <c r="B512">
        <v>3409</v>
      </c>
      <c r="C512">
        <v>1605</v>
      </c>
      <c r="D512">
        <v>20</v>
      </c>
      <c r="E512" t="s">
        <v>10</v>
      </c>
      <c r="F512" t="s">
        <v>11</v>
      </c>
      <c r="G512" t="s">
        <v>12</v>
      </c>
      <c r="H512" s="1">
        <v>45474</v>
      </c>
      <c r="I512" t="s">
        <v>529</v>
      </c>
      <c r="J512" t="s">
        <v>59</v>
      </c>
      <c r="K512" t="s">
        <v>108</v>
      </c>
      <c r="L512" s="3">
        <f>IF(Sales_Table[[#This Row],[Revenue]]=0,0,Sales_Table[[#This Row],[Revenue]]/Sales_Table[[#This Row],[Profit]])</f>
        <v>2.1239875389408098</v>
      </c>
    </row>
    <row r="513" spans="1:12" x14ac:dyDescent="0.5">
      <c r="A513" t="s">
        <v>530</v>
      </c>
      <c r="B513">
        <v>9751</v>
      </c>
      <c r="C513">
        <v>2459</v>
      </c>
      <c r="D513">
        <v>13</v>
      </c>
      <c r="E513" t="s">
        <v>24</v>
      </c>
      <c r="F513" t="s">
        <v>25</v>
      </c>
      <c r="G513" t="s">
        <v>53</v>
      </c>
      <c r="H513" s="1">
        <v>44158</v>
      </c>
      <c r="I513" t="s">
        <v>531</v>
      </c>
      <c r="J513" t="s">
        <v>20</v>
      </c>
      <c r="K513" t="s">
        <v>21</v>
      </c>
      <c r="L513" s="3">
        <f>IF(Sales_Table[[#This Row],[Revenue]]=0,0,Sales_Table[[#This Row],[Revenue]]/Sales_Table[[#This Row],[Profit]])</f>
        <v>3.9654331028873524</v>
      </c>
    </row>
    <row r="514" spans="1:12" x14ac:dyDescent="0.5">
      <c r="A514" t="s">
        <v>532</v>
      </c>
      <c r="B514">
        <v>6385</v>
      </c>
      <c r="C514">
        <v>2656</v>
      </c>
      <c r="D514">
        <v>11</v>
      </c>
      <c r="E514" t="s">
        <v>10</v>
      </c>
      <c r="F514" t="s">
        <v>22</v>
      </c>
      <c r="G514" t="s">
        <v>38</v>
      </c>
      <c r="H514" s="1">
        <v>45003</v>
      </c>
      <c r="I514" t="s">
        <v>533</v>
      </c>
      <c r="J514" t="s">
        <v>14</v>
      </c>
      <c r="K514" t="s">
        <v>28</v>
      </c>
      <c r="L514" s="3">
        <f>IF(Sales_Table[[#This Row],[Revenue]]=0,0,Sales_Table[[#This Row],[Revenue]]/Sales_Table[[#This Row],[Profit]])</f>
        <v>2.4039909638554215</v>
      </c>
    </row>
    <row r="515" spans="1:12" x14ac:dyDescent="0.5">
      <c r="A515" t="s">
        <v>532</v>
      </c>
      <c r="B515">
        <v>6385</v>
      </c>
      <c r="C515">
        <v>2656</v>
      </c>
      <c r="D515">
        <v>11</v>
      </c>
      <c r="E515" t="s">
        <v>10</v>
      </c>
      <c r="F515" t="s">
        <v>22</v>
      </c>
      <c r="G515" t="s">
        <v>38</v>
      </c>
      <c r="H515" s="1">
        <v>44853</v>
      </c>
      <c r="I515" t="s">
        <v>534</v>
      </c>
      <c r="J515" t="s">
        <v>14</v>
      </c>
      <c r="K515" t="s">
        <v>118</v>
      </c>
      <c r="L515" s="3">
        <f>IF(Sales_Table[[#This Row],[Revenue]]=0,0,Sales_Table[[#This Row],[Revenue]]/Sales_Table[[#This Row],[Profit]])</f>
        <v>2.4039909638554215</v>
      </c>
    </row>
    <row r="516" spans="1:12" x14ac:dyDescent="0.5">
      <c r="A516" t="s">
        <v>535</v>
      </c>
      <c r="B516">
        <v>6355</v>
      </c>
      <c r="C516">
        <v>1335</v>
      </c>
      <c r="D516">
        <v>15</v>
      </c>
      <c r="E516" t="s">
        <v>10</v>
      </c>
      <c r="F516" t="s">
        <v>11</v>
      </c>
      <c r="G516" t="s">
        <v>26</v>
      </c>
      <c r="H516" s="1">
        <v>45169</v>
      </c>
      <c r="I516" t="s">
        <v>536</v>
      </c>
      <c r="J516" t="s">
        <v>59</v>
      </c>
      <c r="K516" t="s">
        <v>71</v>
      </c>
      <c r="L516" s="3">
        <f>IF(Sales_Table[[#This Row],[Revenue]]=0,0,Sales_Table[[#This Row],[Revenue]]/Sales_Table[[#This Row],[Profit]])</f>
        <v>4.7602996254681651</v>
      </c>
    </row>
    <row r="517" spans="1:12" x14ac:dyDescent="0.5">
      <c r="A517" t="s">
        <v>535</v>
      </c>
      <c r="B517">
        <v>6355</v>
      </c>
      <c r="C517">
        <v>1335</v>
      </c>
      <c r="D517">
        <v>15</v>
      </c>
      <c r="E517" t="s">
        <v>10</v>
      </c>
      <c r="F517" t="s">
        <v>11</v>
      </c>
      <c r="G517" t="s">
        <v>26</v>
      </c>
      <c r="H517" s="1">
        <v>44353</v>
      </c>
      <c r="I517" t="s">
        <v>537</v>
      </c>
      <c r="J517" t="s">
        <v>59</v>
      </c>
      <c r="K517" t="s">
        <v>71</v>
      </c>
      <c r="L517" s="3">
        <f>IF(Sales_Table[[#This Row],[Revenue]]=0,0,Sales_Table[[#This Row],[Revenue]]/Sales_Table[[#This Row],[Profit]])</f>
        <v>4.7602996254681651</v>
      </c>
    </row>
    <row r="518" spans="1:12" x14ac:dyDescent="0.5">
      <c r="A518" t="s">
        <v>538</v>
      </c>
      <c r="B518">
        <v>7377</v>
      </c>
      <c r="C518">
        <v>320</v>
      </c>
      <c r="D518">
        <v>15</v>
      </c>
      <c r="E518" t="s">
        <v>10</v>
      </c>
      <c r="F518" t="s">
        <v>22</v>
      </c>
      <c r="G518" t="s">
        <v>26</v>
      </c>
      <c r="H518" s="1">
        <v>44916</v>
      </c>
      <c r="I518" t="s">
        <v>539</v>
      </c>
      <c r="J518" t="s">
        <v>59</v>
      </c>
      <c r="K518" t="s">
        <v>71</v>
      </c>
      <c r="L518" s="3">
        <f>IF(Sales_Table[[#This Row],[Revenue]]=0,0,Sales_Table[[#This Row],[Revenue]]/Sales_Table[[#This Row],[Profit]])</f>
        <v>23.053125000000001</v>
      </c>
    </row>
    <row r="519" spans="1:12" x14ac:dyDescent="0.5">
      <c r="A519" t="s">
        <v>538</v>
      </c>
      <c r="B519">
        <v>2054</v>
      </c>
      <c r="C519">
        <v>371</v>
      </c>
      <c r="D519">
        <v>12</v>
      </c>
      <c r="E519" t="s">
        <v>24</v>
      </c>
      <c r="F519" t="s">
        <v>46</v>
      </c>
      <c r="G519" t="s">
        <v>32</v>
      </c>
      <c r="H519" s="1">
        <v>44916</v>
      </c>
      <c r="I519" t="s">
        <v>539</v>
      </c>
      <c r="J519" t="s">
        <v>59</v>
      </c>
      <c r="K519" t="s">
        <v>71</v>
      </c>
      <c r="L519" s="3">
        <f>IF(Sales_Table[[#This Row],[Revenue]]=0,0,Sales_Table[[#This Row],[Revenue]]/Sales_Table[[#This Row],[Profit]])</f>
        <v>5.5363881401617254</v>
      </c>
    </row>
    <row r="520" spans="1:12" x14ac:dyDescent="0.5">
      <c r="A520" t="s">
        <v>540</v>
      </c>
      <c r="B520">
        <v>7497</v>
      </c>
      <c r="C520">
        <v>319</v>
      </c>
      <c r="D520">
        <v>18</v>
      </c>
      <c r="E520" t="s">
        <v>36</v>
      </c>
      <c r="F520" t="s">
        <v>40</v>
      </c>
      <c r="G520" t="s">
        <v>53</v>
      </c>
      <c r="H520" s="1">
        <v>45334</v>
      </c>
      <c r="I520" t="s">
        <v>541</v>
      </c>
      <c r="J520" t="s">
        <v>17</v>
      </c>
      <c r="K520" t="s">
        <v>134</v>
      </c>
      <c r="L520" s="3">
        <f>IF(Sales_Table[[#This Row],[Revenue]]=0,0,Sales_Table[[#This Row],[Revenue]]/Sales_Table[[#This Row],[Profit]])</f>
        <v>23.501567398119121</v>
      </c>
    </row>
    <row r="521" spans="1:12" x14ac:dyDescent="0.5">
      <c r="A521" t="s">
        <v>542</v>
      </c>
      <c r="B521">
        <v>2565</v>
      </c>
      <c r="C521">
        <v>983</v>
      </c>
      <c r="D521">
        <v>20</v>
      </c>
      <c r="E521" t="s">
        <v>10</v>
      </c>
      <c r="F521" t="s">
        <v>11</v>
      </c>
      <c r="G521" t="s">
        <v>26</v>
      </c>
      <c r="H521" s="1">
        <v>44900</v>
      </c>
      <c r="I521" t="s">
        <v>543</v>
      </c>
      <c r="J521" t="s">
        <v>14</v>
      </c>
      <c r="K521" t="s">
        <v>15</v>
      </c>
      <c r="L521" s="3">
        <f>IF(Sales_Table[[#This Row],[Revenue]]=0,0,Sales_Table[[#This Row],[Revenue]]/Sales_Table[[#This Row],[Profit]])</f>
        <v>2.6093591047812819</v>
      </c>
    </row>
    <row r="522" spans="1:12" x14ac:dyDescent="0.5">
      <c r="A522" t="s">
        <v>542</v>
      </c>
      <c r="B522">
        <v>5024</v>
      </c>
      <c r="C522">
        <v>1544</v>
      </c>
      <c r="D522">
        <v>19</v>
      </c>
      <c r="E522" t="s">
        <v>24</v>
      </c>
      <c r="F522" t="s">
        <v>25</v>
      </c>
      <c r="G522" t="s">
        <v>53</v>
      </c>
      <c r="H522" s="1">
        <v>44900</v>
      </c>
      <c r="I522" t="s">
        <v>543</v>
      </c>
      <c r="J522" t="s">
        <v>14</v>
      </c>
      <c r="K522" t="s">
        <v>15</v>
      </c>
      <c r="L522" s="3">
        <f>IF(Sales_Table[[#This Row],[Revenue]]=0,0,Sales_Table[[#This Row],[Revenue]]/Sales_Table[[#This Row],[Profit]])</f>
        <v>3.2538860103626943</v>
      </c>
    </row>
    <row r="523" spans="1:12" x14ac:dyDescent="0.5">
      <c r="A523" t="s">
        <v>544</v>
      </c>
      <c r="B523">
        <v>8243</v>
      </c>
      <c r="C523">
        <v>1346</v>
      </c>
      <c r="D523">
        <v>15</v>
      </c>
      <c r="E523" t="s">
        <v>24</v>
      </c>
      <c r="F523" t="s">
        <v>64</v>
      </c>
      <c r="G523" t="s">
        <v>26</v>
      </c>
      <c r="H523" s="1">
        <v>44290</v>
      </c>
      <c r="I523" t="s">
        <v>545</v>
      </c>
      <c r="J523" t="s">
        <v>59</v>
      </c>
      <c r="K523" t="s">
        <v>108</v>
      </c>
      <c r="L523" s="3">
        <f>IF(Sales_Table[[#This Row],[Revenue]]=0,0,Sales_Table[[#This Row],[Revenue]]/Sales_Table[[#This Row],[Profit]])</f>
        <v>6.1240713224368495</v>
      </c>
    </row>
    <row r="524" spans="1:12" x14ac:dyDescent="0.5">
      <c r="A524" t="s">
        <v>546</v>
      </c>
      <c r="B524">
        <v>7792</v>
      </c>
      <c r="C524">
        <v>1403</v>
      </c>
      <c r="D524">
        <v>13</v>
      </c>
      <c r="E524" t="s">
        <v>24</v>
      </c>
      <c r="F524" t="s">
        <v>52</v>
      </c>
      <c r="G524" t="s">
        <v>12</v>
      </c>
      <c r="H524" s="1">
        <v>44239</v>
      </c>
      <c r="I524" t="s">
        <v>547</v>
      </c>
      <c r="J524" t="s">
        <v>17</v>
      </c>
      <c r="K524" t="s">
        <v>134</v>
      </c>
      <c r="L524" s="3">
        <f>IF(Sales_Table[[#This Row],[Revenue]]=0,0,Sales_Table[[#This Row],[Revenue]]/Sales_Table[[#This Row],[Profit]])</f>
        <v>5.553813257305773</v>
      </c>
    </row>
    <row r="525" spans="1:12" x14ac:dyDescent="0.5">
      <c r="A525" t="s">
        <v>546</v>
      </c>
      <c r="B525">
        <v>7792</v>
      </c>
      <c r="C525">
        <v>1403</v>
      </c>
      <c r="D525">
        <v>13</v>
      </c>
      <c r="E525" t="s">
        <v>24</v>
      </c>
      <c r="F525" t="s">
        <v>52</v>
      </c>
      <c r="G525" t="s">
        <v>12</v>
      </c>
      <c r="H525" s="1">
        <v>44922</v>
      </c>
      <c r="I525" t="s">
        <v>548</v>
      </c>
      <c r="J525" t="s">
        <v>20</v>
      </c>
      <c r="K525" t="s">
        <v>56</v>
      </c>
      <c r="L525" s="3">
        <f>IF(Sales_Table[[#This Row],[Revenue]]=0,0,Sales_Table[[#This Row],[Revenue]]/Sales_Table[[#This Row],[Profit]])</f>
        <v>5.553813257305773</v>
      </c>
    </row>
    <row r="526" spans="1:12" x14ac:dyDescent="0.5">
      <c r="A526" t="s">
        <v>546</v>
      </c>
      <c r="B526">
        <v>7792</v>
      </c>
      <c r="C526">
        <v>1403</v>
      </c>
      <c r="D526">
        <v>13</v>
      </c>
      <c r="E526" t="s">
        <v>24</v>
      </c>
      <c r="F526" t="s">
        <v>52</v>
      </c>
      <c r="G526" t="s">
        <v>12</v>
      </c>
      <c r="H526" s="1">
        <v>45310</v>
      </c>
      <c r="I526" t="s">
        <v>549</v>
      </c>
      <c r="J526" t="s">
        <v>34</v>
      </c>
      <c r="K526" t="s">
        <v>62</v>
      </c>
      <c r="L526" s="3">
        <f>IF(Sales_Table[[#This Row],[Revenue]]=0,0,Sales_Table[[#This Row],[Revenue]]/Sales_Table[[#This Row],[Profit]])</f>
        <v>5.553813257305773</v>
      </c>
    </row>
    <row r="527" spans="1:12" x14ac:dyDescent="0.5">
      <c r="A527" t="s">
        <v>546</v>
      </c>
      <c r="B527">
        <v>2346</v>
      </c>
      <c r="C527">
        <v>388</v>
      </c>
      <c r="D527">
        <v>14</v>
      </c>
      <c r="E527" t="s">
        <v>36</v>
      </c>
      <c r="F527" t="s">
        <v>40</v>
      </c>
      <c r="G527" t="s">
        <v>26</v>
      </c>
      <c r="H527" s="1">
        <v>44239</v>
      </c>
      <c r="I527" t="s">
        <v>547</v>
      </c>
      <c r="J527" t="s">
        <v>17</v>
      </c>
      <c r="K527" t="s">
        <v>134</v>
      </c>
      <c r="L527" s="3">
        <f>IF(Sales_Table[[#This Row],[Revenue]]=0,0,Sales_Table[[#This Row],[Revenue]]/Sales_Table[[#This Row],[Profit]])</f>
        <v>6.0463917525773194</v>
      </c>
    </row>
    <row r="528" spans="1:12" x14ac:dyDescent="0.5">
      <c r="A528" t="s">
        <v>546</v>
      </c>
      <c r="B528">
        <v>2346</v>
      </c>
      <c r="C528">
        <v>388</v>
      </c>
      <c r="D528">
        <v>14</v>
      </c>
      <c r="E528" t="s">
        <v>36</v>
      </c>
      <c r="F528" t="s">
        <v>40</v>
      </c>
      <c r="G528" t="s">
        <v>26</v>
      </c>
      <c r="H528" s="1">
        <v>44922</v>
      </c>
      <c r="I528" t="s">
        <v>548</v>
      </c>
      <c r="J528" t="s">
        <v>20</v>
      </c>
      <c r="K528" t="s">
        <v>56</v>
      </c>
      <c r="L528" s="3">
        <f>IF(Sales_Table[[#This Row],[Revenue]]=0,0,Sales_Table[[#This Row],[Revenue]]/Sales_Table[[#This Row],[Profit]])</f>
        <v>6.0463917525773194</v>
      </c>
    </row>
    <row r="529" spans="1:12" x14ac:dyDescent="0.5">
      <c r="A529" t="s">
        <v>546</v>
      </c>
      <c r="B529">
        <v>2346</v>
      </c>
      <c r="C529">
        <v>388</v>
      </c>
      <c r="D529">
        <v>14</v>
      </c>
      <c r="E529" t="s">
        <v>36</v>
      </c>
      <c r="F529" t="s">
        <v>40</v>
      </c>
      <c r="G529" t="s">
        <v>26</v>
      </c>
      <c r="H529" s="1">
        <v>45310</v>
      </c>
      <c r="I529" t="s">
        <v>549</v>
      </c>
      <c r="J529" t="s">
        <v>34</v>
      </c>
      <c r="K529" t="s">
        <v>62</v>
      </c>
      <c r="L529" s="3">
        <f>IF(Sales_Table[[#This Row],[Revenue]]=0,0,Sales_Table[[#This Row],[Revenue]]/Sales_Table[[#This Row],[Profit]])</f>
        <v>6.0463917525773194</v>
      </c>
    </row>
    <row r="530" spans="1:12" x14ac:dyDescent="0.5">
      <c r="A530" t="s">
        <v>550</v>
      </c>
      <c r="B530">
        <v>7346</v>
      </c>
      <c r="C530">
        <v>1043</v>
      </c>
      <c r="D530">
        <v>10</v>
      </c>
      <c r="E530" t="s">
        <v>36</v>
      </c>
      <c r="F530" t="s">
        <v>48</v>
      </c>
      <c r="G530" t="s">
        <v>38</v>
      </c>
      <c r="H530" s="1">
        <v>44920</v>
      </c>
      <c r="I530" t="s">
        <v>551</v>
      </c>
      <c r="J530" t="s">
        <v>79</v>
      </c>
      <c r="K530" t="s">
        <v>80</v>
      </c>
      <c r="L530" s="3">
        <f>IF(Sales_Table[[#This Row],[Revenue]]=0,0,Sales_Table[[#This Row],[Revenue]]/Sales_Table[[#This Row],[Profit]])</f>
        <v>7.0431447746883986</v>
      </c>
    </row>
    <row r="531" spans="1:12" x14ac:dyDescent="0.5">
      <c r="A531" t="s">
        <v>550</v>
      </c>
      <c r="B531">
        <v>9770</v>
      </c>
      <c r="C531">
        <v>4132</v>
      </c>
      <c r="D531">
        <v>7</v>
      </c>
      <c r="E531" t="s">
        <v>10</v>
      </c>
      <c r="F531" t="s">
        <v>11</v>
      </c>
      <c r="G531" t="s">
        <v>12</v>
      </c>
      <c r="H531" s="1">
        <v>44920</v>
      </c>
      <c r="I531" t="s">
        <v>551</v>
      </c>
      <c r="J531" t="s">
        <v>79</v>
      </c>
      <c r="K531" t="s">
        <v>80</v>
      </c>
      <c r="L531" s="3">
        <f>IF(Sales_Table[[#This Row],[Revenue]]=0,0,Sales_Table[[#This Row],[Revenue]]/Sales_Table[[#This Row],[Profit]])</f>
        <v>2.3644724104549857</v>
      </c>
    </row>
    <row r="532" spans="1:12" x14ac:dyDescent="0.5">
      <c r="A532" t="s">
        <v>550</v>
      </c>
      <c r="B532">
        <v>7179</v>
      </c>
      <c r="C532">
        <v>683</v>
      </c>
      <c r="D532">
        <v>13</v>
      </c>
      <c r="E532" t="s">
        <v>10</v>
      </c>
      <c r="F532" t="s">
        <v>31</v>
      </c>
      <c r="G532" t="s">
        <v>38</v>
      </c>
      <c r="H532" s="1">
        <v>44920</v>
      </c>
      <c r="I532" t="s">
        <v>551</v>
      </c>
      <c r="J532" t="s">
        <v>79</v>
      </c>
      <c r="K532" t="s">
        <v>80</v>
      </c>
      <c r="L532" s="3">
        <f>IF(Sales_Table[[#This Row],[Revenue]]=0,0,Sales_Table[[#This Row],[Revenue]]/Sales_Table[[#This Row],[Profit]])</f>
        <v>10.510980966325036</v>
      </c>
    </row>
    <row r="533" spans="1:12" x14ac:dyDescent="0.5">
      <c r="A533" t="s">
        <v>552</v>
      </c>
      <c r="B533">
        <v>5449</v>
      </c>
      <c r="C533">
        <v>2389</v>
      </c>
      <c r="D533">
        <v>2</v>
      </c>
      <c r="E533" t="s">
        <v>10</v>
      </c>
      <c r="F533" t="s">
        <v>67</v>
      </c>
      <c r="G533" t="s">
        <v>12</v>
      </c>
      <c r="H533" s="1">
        <v>44840</v>
      </c>
      <c r="I533" t="s">
        <v>553</v>
      </c>
      <c r="J533" t="s">
        <v>14</v>
      </c>
      <c r="K533" t="s">
        <v>15</v>
      </c>
      <c r="L533" s="3">
        <f>IF(Sales_Table[[#This Row],[Revenue]]=0,0,Sales_Table[[#This Row],[Revenue]]/Sales_Table[[#This Row],[Profit]])</f>
        <v>2.280870657178736</v>
      </c>
    </row>
    <row r="534" spans="1:12" x14ac:dyDescent="0.5">
      <c r="A534" t="s">
        <v>554</v>
      </c>
      <c r="B534">
        <v>2895</v>
      </c>
      <c r="C534">
        <v>104</v>
      </c>
      <c r="D534">
        <v>6</v>
      </c>
      <c r="E534" t="s">
        <v>36</v>
      </c>
      <c r="F534" t="s">
        <v>40</v>
      </c>
      <c r="G534" t="s">
        <v>53</v>
      </c>
      <c r="H534" s="1">
        <v>43948</v>
      </c>
      <c r="I534" t="s">
        <v>555</v>
      </c>
      <c r="J534" t="s">
        <v>20</v>
      </c>
      <c r="K534" t="s">
        <v>21</v>
      </c>
      <c r="L534" s="3">
        <f>IF(Sales_Table[[#This Row],[Revenue]]=0,0,Sales_Table[[#This Row],[Revenue]]/Sales_Table[[#This Row],[Profit]])</f>
        <v>27.83653846153846</v>
      </c>
    </row>
    <row r="535" spans="1:12" x14ac:dyDescent="0.5">
      <c r="A535" t="s">
        <v>554</v>
      </c>
      <c r="B535">
        <v>2895</v>
      </c>
      <c r="C535">
        <v>104</v>
      </c>
      <c r="D535">
        <v>6</v>
      </c>
      <c r="E535" t="s">
        <v>36</v>
      </c>
      <c r="F535" t="s">
        <v>40</v>
      </c>
      <c r="G535" t="s">
        <v>53</v>
      </c>
      <c r="H535" s="1">
        <v>45425</v>
      </c>
      <c r="I535" t="s">
        <v>556</v>
      </c>
      <c r="J535" t="s">
        <v>59</v>
      </c>
      <c r="K535" t="s">
        <v>108</v>
      </c>
      <c r="L535" s="3">
        <f>IF(Sales_Table[[#This Row],[Revenue]]=0,0,Sales_Table[[#This Row],[Revenue]]/Sales_Table[[#This Row],[Profit]])</f>
        <v>27.83653846153846</v>
      </c>
    </row>
    <row r="536" spans="1:12" x14ac:dyDescent="0.5">
      <c r="A536" t="s">
        <v>554</v>
      </c>
      <c r="B536">
        <v>697</v>
      </c>
      <c r="C536">
        <v>116</v>
      </c>
      <c r="D536">
        <v>1</v>
      </c>
      <c r="E536" t="s">
        <v>36</v>
      </c>
      <c r="F536" t="s">
        <v>40</v>
      </c>
      <c r="G536" t="s">
        <v>12</v>
      </c>
      <c r="H536" s="1">
        <v>43948</v>
      </c>
      <c r="I536" t="s">
        <v>555</v>
      </c>
      <c r="J536" t="s">
        <v>20</v>
      </c>
      <c r="K536" t="s">
        <v>21</v>
      </c>
      <c r="L536" s="3">
        <f>IF(Sales_Table[[#This Row],[Revenue]]=0,0,Sales_Table[[#This Row],[Revenue]]/Sales_Table[[#This Row],[Profit]])</f>
        <v>6.0086206896551726</v>
      </c>
    </row>
    <row r="537" spans="1:12" x14ac:dyDescent="0.5">
      <c r="A537" t="s">
        <v>554</v>
      </c>
      <c r="B537">
        <v>697</v>
      </c>
      <c r="C537">
        <v>116</v>
      </c>
      <c r="D537">
        <v>1</v>
      </c>
      <c r="E537" t="s">
        <v>36</v>
      </c>
      <c r="F537" t="s">
        <v>40</v>
      </c>
      <c r="G537" t="s">
        <v>12</v>
      </c>
      <c r="H537" s="1">
        <v>45425</v>
      </c>
      <c r="I537" t="s">
        <v>556</v>
      </c>
      <c r="J537" t="s">
        <v>59</v>
      </c>
      <c r="K537" t="s">
        <v>108</v>
      </c>
      <c r="L537" s="3">
        <f>IF(Sales_Table[[#This Row],[Revenue]]=0,0,Sales_Table[[#This Row],[Revenue]]/Sales_Table[[#This Row],[Profit]])</f>
        <v>6.0086206896551726</v>
      </c>
    </row>
    <row r="538" spans="1:12" x14ac:dyDescent="0.5">
      <c r="A538" t="s">
        <v>557</v>
      </c>
      <c r="B538">
        <v>6145</v>
      </c>
      <c r="C538">
        <v>1414</v>
      </c>
      <c r="D538">
        <v>4</v>
      </c>
      <c r="E538" t="s">
        <v>36</v>
      </c>
      <c r="F538" t="s">
        <v>40</v>
      </c>
      <c r="G538" t="s">
        <v>53</v>
      </c>
      <c r="H538" s="1">
        <v>44127</v>
      </c>
      <c r="I538" t="s">
        <v>558</v>
      </c>
      <c r="J538" t="s">
        <v>34</v>
      </c>
      <c r="K538" t="s">
        <v>35</v>
      </c>
      <c r="L538" s="3">
        <f>IF(Sales_Table[[#This Row],[Revenue]]=0,0,Sales_Table[[#This Row],[Revenue]]/Sales_Table[[#This Row],[Profit]])</f>
        <v>4.3458274398868459</v>
      </c>
    </row>
    <row r="539" spans="1:12" x14ac:dyDescent="0.5">
      <c r="A539" t="s">
        <v>557</v>
      </c>
      <c r="B539">
        <v>2504</v>
      </c>
      <c r="C539">
        <v>440</v>
      </c>
      <c r="D539">
        <v>18</v>
      </c>
      <c r="E539" t="s">
        <v>10</v>
      </c>
      <c r="F539" t="s">
        <v>22</v>
      </c>
      <c r="G539" t="s">
        <v>12</v>
      </c>
      <c r="H539" s="1">
        <v>44127</v>
      </c>
      <c r="I539" t="s">
        <v>558</v>
      </c>
      <c r="J539" t="s">
        <v>34</v>
      </c>
      <c r="K539" t="s">
        <v>35</v>
      </c>
      <c r="L539" s="3">
        <f>IF(Sales_Table[[#This Row],[Revenue]]=0,0,Sales_Table[[#This Row],[Revenue]]/Sales_Table[[#This Row],[Profit]])</f>
        <v>5.6909090909090905</v>
      </c>
    </row>
    <row r="540" spans="1:12" x14ac:dyDescent="0.5">
      <c r="A540" t="s">
        <v>557</v>
      </c>
      <c r="B540">
        <v>3124</v>
      </c>
      <c r="C540">
        <v>138</v>
      </c>
      <c r="D540">
        <v>16</v>
      </c>
      <c r="E540" t="s">
        <v>10</v>
      </c>
      <c r="F540" t="s">
        <v>67</v>
      </c>
      <c r="G540" t="s">
        <v>26</v>
      </c>
      <c r="H540" s="1">
        <v>44127</v>
      </c>
      <c r="I540" t="s">
        <v>558</v>
      </c>
      <c r="J540" t="s">
        <v>34</v>
      </c>
      <c r="K540" t="s">
        <v>35</v>
      </c>
      <c r="L540" s="3">
        <f>IF(Sales_Table[[#This Row],[Revenue]]=0,0,Sales_Table[[#This Row],[Revenue]]/Sales_Table[[#This Row],[Profit]])</f>
        <v>22.637681159420289</v>
      </c>
    </row>
    <row r="541" spans="1:12" x14ac:dyDescent="0.5">
      <c r="A541" t="s">
        <v>559</v>
      </c>
      <c r="B541">
        <v>6934</v>
      </c>
      <c r="C541">
        <v>1226</v>
      </c>
      <c r="D541">
        <v>1</v>
      </c>
      <c r="E541" t="s">
        <v>10</v>
      </c>
      <c r="F541" t="s">
        <v>11</v>
      </c>
      <c r="G541" t="s">
        <v>26</v>
      </c>
      <c r="H541" s="1">
        <v>44358</v>
      </c>
      <c r="I541" t="s">
        <v>560</v>
      </c>
      <c r="J541" t="s">
        <v>79</v>
      </c>
      <c r="K541" t="s">
        <v>86</v>
      </c>
      <c r="L541" s="3">
        <f>IF(Sales_Table[[#This Row],[Revenue]]=0,0,Sales_Table[[#This Row],[Revenue]]/Sales_Table[[#This Row],[Profit]])</f>
        <v>5.6557911908646004</v>
      </c>
    </row>
    <row r="542" spans="1:12" x14ac:dyDescent="0.5">
      <c r="A542" t="s">
        <v>559</v>
      </c>
      <c r="B542">
        <v>6934</v>
      </c>
      <c r="C542">
        <v>1226</v>
      </c>
      <c r="D542">
        <v>1</v>
      </c>
      <c r="E542" t="s">
        <v>10</v>
      </c>
      <c r="F542" t="s">
        <v>11</v>
      </c>
      <c r="G542" t="s">
        <v>26</v>
      </c>
      <c r="H542" s="1">
        <v>44447</v>
      </c>
      <c r="I542" t="s">
        <v>531</v>
      </c>
      <c r="J542" t="s">
        <v>20</v>
      </c>
      <c r="K542" t="s">
        <v>56</v>
      </c>
      <c r="L542" s="3">
        <f>IF(Sales_Table[[#This Row],[Revenue]]=0,0,Sales_Table[[#This Row],[Revenue]]/Sales_Table[[#This Row],[Profit]])</f>
        <v>5.6557911908646004</v>
      </c>
    </row>
    <row r="543" spans="1:12" x14ac:dyDescent="0.5">
      <c r="A543" t="s">
        <v>561</v>
      </c>
      <c r="B543">
        <v>4202</v>
      </c>
      <c r="C543">
        <v>1171</v>
      </c>
      <c r="D543">
        <v>3</v>
      </c>
      <c r="E543" t="s">
        <v>24</v>
      </c>
      <c r="F543" t="s">
        <v>46</v>
      </c>
      <c r="G543" t="s">
        <v>53</v>
      </c>
      <c r="H543" s="1">
        <v>44888</v>
      </c>
      <c r="I543" t="s">
        <v>562</v>
      </c>
      <c r="J543" t="s">
        <v>17</v>
      </c>
      <c r="K543" t="s">
        <v>134</v>
      </c>
      <c r="L543" s="3">
        <f>IF(Sales_Table[[#This Row],[Revenue]]=0,0,Sales_Table[[#This Row],[Revenue]]/Sales_Table[[#This Row],[Profit]])</f>
        <v>3.588385994876174</v>
      </c>
    </row>
    <row r="544" spans="1:12" x14ac:dyDescent="0.5">
      <c r="A544" t="s">
        <v>561</v>
      </c>
      <c r="B544">
        <v>4202</v>
      </c>
      <c r="C544">
        <v>1171</v>
      </c>
      <c r="D544">
        <v>3</v>
      </c>
      <c r="E544" t="s">
        <v>24</v>
      </c>
      <c r="F544" t="s">
        <v>46</v>
      </c>
      <c r="G544" t="s">
        <v>53</v>
      </c>
      <c r="H544" s="1">
        <v>44865</v>
      </c>
      <c r="I544" t="s">
        <v>563</v>
      </c>
      <c r="J544" t="s">
        <v>20</v>
      </c>
      <c r="K544" t="s">
        <v>56</v>
      </c>
      <c r="L544" s="3">
        <f>IF(Sales_Table[[#This Row],[Revenue]]=0,0,Sales_Table[[#This Row],[Revenue]]/Sales_Table[[#This Row],[Profit]])</f>
        <v>3.588385994876174</v>
      </c>
    </row>
    <row r="545" spans="1:12" x14ac:dyDescent="0.5">
      <c r="A545" t="s">
        <v>561</v>
      </c>
      <c r="B545">
        <v>4202</v>
      </c>
      <c r="C545">
        <v>1171</v>
      </c>
      <c r="D545">
        <v>3</v>
      </c>
      <c r="E545" t="s">
        <v>24</v>
      </c>
      <c r="F545" t="s">
        <v>46</v>
      </c>
      <c r="G545" t="s">
        <v>53</v>
      </c>
      <c r="H545" s="1">
        <v>45236</v>
      </c>
      <c r="I545" t="s">
        <v>564</v>
      </c>
      <c r="J545" t="s">
        <v>14</v>
      </c>
      <c r="K545" t="s">
        <v>118</v>
      </c>
      <c r="L545" s="3">
        <f>IF(Sales_Table[[#This Row],[Revenue]]=0,0,Sales_Table[[#This Row],[Revenue]]/Sales_Table[[#This Row],[Profit]])</f>
        <v>3.588385994876174</v>
      </c>
    </row>
    <row r="546" spans="1:12" x14ac:dyDescent="0.5">
      <c r="A546" t="s">
        <v>561</v>
      </c>
      <c r="B546">
        <v>4202</v>
      </c>
      <c r="C546">
        <v>1171</v>
      </c>
      <c r="D546">
        <v>3</v>
      </c>
      <c r="E546" t="s">
        <v>24</v>
      </c>
      <c r="F546" t="s">
        <v>46</v>
      </c>
      <c r="G546" t="s">
        <v>53</v>
      </c>
      <c r="H546" s="1">
        <v>45242</v>
      </c>
      <c r="I546" t="s">
        <v>565</v>
      </c>
      <c r="J546" t="s">
        <v>59</v>
      </c>
      <c r="K546" t="s">
        <v>108</v>
      </c>
      <c r="L546" s="3">
        <f>IF(Sales_Table[[#This Row],[Revenue]]=0,0,Sales_Table[[#This Row],[Revenue]]/Sales_Table[[#This Row],[Profit]])</f>
        <v>3.588385994876174</v>
      </c>
    </row>
    <row r="547" spans="1:12" x14ac:dyDescent="0.5">
      <c r="A547" t="s">
        <v>566</v>
      </c>
      <c r="B547">
        <v>2239</v>
      </c>
      <c r="C547">
        <v>828</v>
      </c>
      <c r="D547">
        <v>1</v>
      </c>
      <c r="E547" t="s">
        <v>10</v>
      </c>
      <c r="F547" t="s">
        <v>22</v>
      </c>
      <c r="G547" t="s">
        <v>12</v>
      </c>
      <c r="H547" s="1">
        <v>45103</v>
      </c>
      <c r="I547" t="s">
        <v>567</v>
      </c>
      <c r="J547" t="s">
        <v>34</v>
      </c>
      <c r="K547" t="s">
        <v>35</v>
      </c>
      <c r="L547" s="3">
        <f>IF(Sales_Table[[#This Row],[Revenue]]=0,0,Sales_Table[[#This Row],[Revenue]]/Sales_Table[[#This Row],[Profit]])</f>
        <v>2.7041062801932365</v>
      </c>
    </row>
    <row r="548" spans="1:12" x14ac:dyDescent="0.5">
      <c r="A548" t="s">
        <v>566</v>
      </c>
      <c r="B548">
        <v>2239</v>
      </c>
      <c r="C548">
        <v>828</v>
      </c>
      <c r="D548">
        <v>1</v>
      </c>
      <c r="E548" t="s">
        <v>10</v>
      </c>
      <c r="F548" t="s">
        <v>22</v>
      </c>
      <c r="G548" t="s">
        <v>12</v>
      </c>
      <c r="H548" s="1">
        <v>45199</v>
      </c>
      <c r="I548" t="s">
        <v>568</v>
      </c>
      <c r="J548" t="s">
        <v>17</v>
      </c>
      <c r="K548" t="s">
        <v>18</v>
      </c>
      <c r="L548" s="3">
        <f>IF(Sales_Table[[#This Row],[Revenue]]=0,0,Sales_Table[[#This Row],[Revenue]]/Sales_Table[[#This Row],[Profit]])</f>
        <v>2.7041062801932365</v>
      </c>
    </row>
    <row r="549" spans="1:12" x14ac:dyDescent="0.5">
      <c r="A549" t="s">
        <v>566</v>
      </c>
      <c r="B549">
        <v>2450</v>
      </c>
      <c r="C549">
        <v>1002</v>
      </c>
      <c r="D549">
        <v>4</v>
      </c>
      <c r="E549" t="s">
        <v>10</v>
      </c>
      <c r="F549" t="s">
        <v>67</v>
      </c>
      <c r="G549" t="s">
        <v>26</v>
      </c>
      <c r="H549" s="1">
        <v>45103</v>
      </c>
      <c r="I549" t="s">
        <v>567</v>
      </c>
      <c r="J549" t="s">
        <v>34</v>
      </c>
      <c r="K549" t="s">
        <v>35</v>
      </c>
      <c r="L549" s="3">
        <f>IF(Sales_Table[[#This Row],[Revenue]]=0,0,Sales_Table[[#This Row],[Revenue]]/Sales_Table[[#This Row],[Profit]])</f>
        <v>2.4451097804391217</v>
      </c>
    </row>
    <row r="550" spans="1:12" x14ac:dyDescent="0.5">
      <c r="A550" t="s">
        <v>566</v>
      </c>
      <c r="B550">
        <v>2450</v>
      </c>
      <c r="C550">
        <v>1002</v>
      </c>
      <c r="D550">
        <v>4</v>
      </c>
      <c r="E550" t="s">
        <v>10</v>
      </c>
      <c r="F550" t="s">
        <v>67</v>
      </c>
      <c r="G550" t="s">
        <v>26</v>
      </c>
      <c r="H550" s="1">
        <v>45199</v>
      </c>
      <c r="I550" t="s">
        <v>568</v>
      </c>
      <c r="J550" t="s">
        <v>17</v>
      </c>
      <c r="K550" t="s">
        <v>18</v>
      </c>
      <c r="L550" s="3">
        <f>IF(Sales_Table[[#This Row],[Revenue]]=0,0,Sales_Table[[#This Row],[Revenue]]/Sales_Table[[#This Row],[Profit]])</f>
        <v>2.4451097804391217</v>
      </c>
    </row>
    <row r="551" spans="1:12" x14ac:dyDescent="0.5">
      <c r="A551" t="s">
        <v>569</v>
      </c>
      <c r="B551">
        <v>9827</v>
      </c>
      <c r="C551">
        <v>4208</v>
      </c>
      <c r="D551">
        <v>13</v>
      </c>
      <c r="E551" t="s">
        <v>36</v>
      </c>
      <c r="F551" t="s">
        <v>40</v>
      </c>
      <c r="G551" t="s">
        <v>26</v>
      </c>
      <c r="H551" s="1">
        <v>44086</v>
      </c>
      <c r="I551" t="s">
        <v>570</v>
      </c>
      <c r="J551" t="s">
        <v>20</v>
      </c>
      <c r="K551" t="s">
        <v>42</v>
      </c>
      <c r="L551" s="3">
        <f>IF(Sales_Table[[#This Row],[Revenue]]=0,0,Sales_Table[[#This Row],[Revenue]]/Sales_Table[[#This Row],[Profit]])</f>
        <v>2.3353136882129277</v>
      </c>
    </row>
    <row r="552" spans="1:12" x14ac:dyDescent="0.5">
      <c r="A552" t="s">
        <v>569</v>
      </c>
      <c r="B552">
        <v>8077</v>
      </c>
      <c r="C552">
        <v>240</v>
      </c>
      <c r="D552">
        <v>15</v>
      </c>
      <c r="E552" t="s">
        <v>36</v>
      </c>
      <c r="F552" t="s">
        <v>48</v>
      </c>
      <c r="G552" t="s">
        <v>38</v>
      </c>
      <c r="H552" s="1">
        <v>44086</v>
      </c>
      <c r="I552" t="s">
        <v>570</v>
      </c>
      <c r="J552" t="s">
        <v>20</v>
      </c>
      <c r="K552" t="s">
        <v>42</v>
      </c>
      <c r="L552" s="3">
        <f>IF(Sales_Table[[#This Row],[Revenue]]=0,0,Sales_Table[[#This Row],[Revenue]]/Sales_Table[[#This Row],[Profit]])</f>
        <v>33.654166666666669</v>
      </c>
    </row>
    <row r="553" spans="1:12" x14ac:dyDescent="0.5">
      <c r="A553" t="s">
        <v>571</v>
      </c>
      <c r="B553">
        <v>5152</v>
      </c>
      <c r="C553">
        <v>2045</v>
      </c>
      <c r="D553">
        <v>14</v>
      </c>
      <c r="E553" t="s">
        <v>10</v>
      </c>
      <c r="F553" t="s">
        <v>67</v>
      </c>
      <c r="G553" t="s">
        <v>12</v>
      </c>
      <c r="H553" s="1">
        <v>44162</v>
      </c>
      <c r="I553" t="s">
        <v>572</v>
      </c>
      <c r="J553" t="s">
        <v>17</v>
      </c>
      <c r="K553" t="s">
        <v>51</v>
      </c>
      <c r="L553" s="3">
        <f>IF(Sales_Table[[#This Row],[Revenue]]=0,0,Sales_Table[[#This Row],[Revenue]]/Sales_Table[[#This Row],[Profit]])</f>
        <v>2.5193154034229828</v>
      </c>
    </row>
    <row r="554" spans="1:12" x14ac:dyDescent="0.5">
      <c r="A554" t="s">
        <v>571</v>
      </c>
      <c r="B554">
        <v>5152</v>
      </c>
      <c r="C554">
        <v>2045</v>
      </c>
      <c r="D554">
        <v>14</v>
      </c>
      <c r="E554" t="s">
        <v>10</v>
      </c>
      <c r="F554" t="s">
        <v>67</v>
      </c>
      <c r="G554" t="s">
        <v>12</v>
      </c>
      <c r="H554" s="1">
        <v>44798</v>
      </c>
      <c r="I554" t="s">
        <v>573</v>
      </c>
      <c r="J554" t="s">
        <v>34</v>
      </c>
      <c r="K554" t="s">
        <v>35</v>
      </c>
      <c r="L554" s="3">
        <f>IF(Sales_Table[[#This Row],[Revenue]]=0,0,Sales_Table[[#This Row],[Revenue]]/Sales_Table[[#This Row],[Profit]])</f>
        <v>2.5193154034229828</v>
      </c>
    </row>
    <row r="555" spans="1:12" x14ac:dyDescent="0.5">
      <c r="A555" t="s">
        <v>571</v>
      </c>
      <c r="B555">
        <v>5152</v>
      </c>
      <c r="C555">
        <v>2045</v>
      </c>
      <c r="D555">
        <v>14</v>
      </c>
      <c r="E555" t="s">
        <v>10</v>
      </c>
      <c r="F555" t="s">
        <v>67</v>
      </c>
      <c r="G555" t="s">
        <v>12</v>
      </c>
      <c r="H555" s="1">
        <v>45161</v>
      </c>
      <c r="I555" t="s">
        <v>574</v>
      </c>
      <c r="J555" t="s">
        <v>17</v>
      </c>
      <c r="K555" t="s">
        <v>18</v>
      </c>
      <c r="L555" s="3">
        <f>IF(Sales_Table[[#This Row],[Revenue]]=0,0,Sales_Table[[#This Row],[Revenue]]/Sales_Table[[#This Row],[Profit]])</f>
        <v>2.5193154034229828</v>
      </c>
    </row>
    <row r="556" spans="1:12" x14ac:dyDescent="0.5">
      <c r="A556" t="s">
        <v>571</v>
      </c>
      <c r="B556">
        <v>5152</v>
      </c>
      <c r="C556">
        <v>2045</v>
      </c>
      <c r="D556">
        <v>14</v>
      </c>
      <c r="E556" t="s">
        <v>10</v>
      </c>
      <c r="F556" t="s">
        <v>67</v>
      </c>
      <c r="G556" t="s">
        <v>12</v>
      </c>
      <c r="H556" s="1">
        <v>45210</v>
      </c>
      <c r="I556" t="s">
        <v>575</v>
      </c>
      <c r="J556" t="s">
        <v>20</v>
      </c>
      <c r="K556" t="s">
        <v>56</v>
      </c>
      <c r="L556" s="3">
        <f>IF(Sales_Table[[#This Row],[Revenue]]=0,0,Sales_Table[[#This Row],[Revenue]]/Sales_Table[[#This Row],[Profit]])</f>
        <v>2.5193154034229828</v>
      </c>
    </row>
    <row r="557" spans="1:12" x14ac:dyDescent="0.5">
      <c r="A557" t="s">
        <v>576</v>
      </c>
      <c r="B557">
        <v>2542</v>
      </c>
      <c r="C557">
        <v>190</v>
      </c>
      <c r="D557">
        <v>1</v>
      </c>
      <c r="E557" t="s">
        <v>24</v>
      </c>
      <c r="F557" t="s">
        <v>46</v>
      </c>
      <c r="G557" t="s">
        <v>38</v>
      </c>
      <c r="H557" s="1">
        <v>44672</v>
      </c>
      <c r="I557" t="s">
        <v>577</v>
      </c>
      <c r="J557" t="s">
        <v>59</v>
      </c>
      <c r="K557" t="s">
        <v>108</v>
      </c>
      <c r="L557" s="3">
        <f>IF(Sales_Table[[#This Row],[Revenue]]=0,0,Sales_Table[[#This Row],[Revenue]]/Sales_Table[[#This Row],[Profit]])</f>
        <v>13.378947368421052</v>
      </c>
    </row>
    <row r="558" spans="1:12" x14ac:dyDescent="0.5">
      <c r="A558" t="s">
        <v>578</v>
      </c>
      <c r="B558">
        <v>8102</v>
      </c>
      <c r="C558">
        <v>1800</v>
      </c>
      <c r="D558">
        <v>5</v>
      </c>
      <c r="E558" t="s">
        <v>24</v>
      </c>
      <c r="F558" t="s">
        <v>46</v>
      </c>
      <c r="G558" t="s">
        <v>12</v>
      </c>
      <c r="H558" s="1">
        <v>45183</v>
      </c>
      <c r="I558" t="s">
        <v>579</v>
      </c>
      <c r="J558" t="s">
        <v>34</v>
      </c>
      <c r="K558" t="s">
        <v>75</v>
      </c>
      <c r="L558" s="3">
        <f>IF(Sales_Table[[#This Row],[Revenue]]=0,0,Sales_Table[[#This Row],[Revenue]]/Sales_Table[[#This Row],[Profit]])</f>
        <v>4.5011111111111113</v>
      </c>
    </row>
    <row r="559" spans="1:12" x14ac:dyDescent="0.5">
      <c r="A559" t="s">
        <v>578</v>
      </c>
      <c r="B559">
        <v>8102</v>
      </c>
      <c r="C559">
        <v>1800</v>
      </c>
      <c r="D559">
        <v>5</v>
      </c>
      <c r="E559" t="s">
        <v>24</v>
      </c>
      <c r="F559" t="s">
        <v>46</v>
      </c>
      <c r="G559" t="s">
        <v>12</v>
      </c>
      <c r="H559" s="1">
        <v>43950</v>
      </c>
      <c r="I559" t="s">
        <v>580</v>
      </c>
      <c r="J559" t="s">
        <v>20</v>
      </c>
      <c r="K559" t="s">
        <v>21</v>
      </c>
      <c r="L559" s="3">
        <f>IF(Sales_Table[[#This Row],[Revenue]]=0,0,Sales_Table[[#This Row],[Revenue]]/Sales_Table[[#This Row],[Profit]])</f>
        <v>4.5011111111111113</v>
      </c>
    </row>
    <row r="560" spans="1:12" x14ac:dyDescent="0.5">
      <c r="A560" t="s">
        <v>578</v>
      </c>
      <c r="B560">
        <v>8102</v>
      </c>
      <c r="C560">
        <v>1800</v>
      </c>
      <c r="D560">
        <v>5</v>
      </c>
      <c r="E560" t="s">
        <v>24</v>
      </c>
      <c r="F560" t="s">
        <v>46</v>
      </c>
      <c r="G560" t="s">
        <v>12</v>
      </c>
      <c r="H560" s="1">
        <v>44180</v>
      </c>
      <c r="I560" t="s">
        <v>581</v>
      </c>
      <c r="J560" t="s">
        <v>79</v>
      </c>
      <c r="K560" t="s">
        <v>94</v>
      </c>
      <c r="L560" s="3">
        <f>IF(Sales_Table[[#This Row],[Revenue]]=0,0,Sales_Table[[#This Row],[Revenue]]/Sales_Table[[#This Row],[Profit]])</f>
        <v>4.5011111111111113</v>
      </c>
    </row>
    <row r="561" spans="1:12" x14ac:dyDescent="0.5">
      <c r="A561" t="s">
        <v>578</v>
      </c>
      <c r="B561">
        <v>3234</v>
      </c>
      <c r="C561">
        <v>1274</v>
      </c>
      <c r="D561">
        <v>10</v>
      </c>
      <c r="E561" t="s">
        <v>36</v>
      </c>
      <c r="F561" t="s">
        <v>37</v>
      </c>
      <c r="G561" t="s">
        <v>32</v>
      </c>
      <c r="H561" s="1">
        <v>45183</v>
      </c>
      <c r="I561" t="s">
        <v>579</v>
      </c>
      <c r="J561" t="s">
        <v>34</v>
      </c>
      <c r="K561" t="s">
        <v>75</v>
      </c>
      <c r="L561" s="3">
        <f>IF(Sales_Table[[#This Row],[Revenue]]=0,0,Sales_Table[[#This Row],[Revenue]]/Sales_Table[[#This Row],[Profit]])</f>
        <v>2.5384615384615383</v>
      </c>
    </row>
    <row r="562" spans="1:12" x14ac:dyDescent="0.5">
      <c r="A562" t="s">
        <v>578</v>
      </c>
      <c r="B562">
        <v>3234</v>
      </c>
      <c r="C562">
        <v>1274</v>
      </c>
      <c r="D562">
        <v>10</v>
      </c>
      <c r="E562" t="s">
        <v>36</v>
      </c>
      <c r="F562" t="s">
        <v>37</v>
      </c>
      <c r="G562" t="s">
        <v>32</v>
      </c>
      <c r="H562" s="1">
        <v>43950</v>
      </c>
      <c r="I562" t="s">
        <v>580</v>
      </c>
      <c r="J562" t="s">
        <v>20</v>
      </c>
      <c r="K562" t="s">
        <v>21</v>
      </c>
      <c r="L562" s="3">
        <f>IF(Sales_Table[[#This Row],[Revenue]]=0,0,Sales_Table[[#This Row],[Revenue]]/Sales_Table[[#This Row],[Profit]])</f>
        <v>2.5384615384615383</v>
      </c>
    </row>
    <row r="563" spans="1:12" x14ac:dyDescent="0.5">
      <c r="A563" t="s">
        <v>578</v>
      </c>
      <c r="B563">
        <v>3234</v>
      </c>
      <c r="C563">
        <v>1274</v>
      </c>
      <c r="D563">
        <v>10</v>
      </c>
      <c r="E563" t="s">
        <v>36</v>
      </c>
      <c r="F563" t="s">
        <v>37</v>
      </c>
      <c r="G563" t="s">
        <v>32</v>
      </c>
      <c r="H563" s="1">
        <v>44180</v>
      </c>
      <c r="I563" t="s">
        <v>581</v>
      </c>
      <c r="J563" t="s">
        <v>79</v>
      </c>
      <c r="K563" t="s">
        <v>94</v>
      </c>
      <c r="L563" s="3">
        <f>IF(Sales_Table[[#This Row],[Revenue]]=0,0,Sales_Table[[#This Row],[Revenue]]/Sales_Table[[#This Row],[Profit]])</f>
        <v>2.5384615384615383</v>
      </c>
    </row>
    <row r="564" spans="1:12" x14ac:dyDescent="0.5">
      <c r="A564" t="s">
        <v>582</v>
      </c>
      <c r="B564">
        <v>6200</v>
      </c>
      <c r="C564">
        <v>2321</v>
      </c>
      <c r="D564">
        <v>18</v>
      </c>
      <c r="E564" t="s">
        <v>36</v>
      </c>
      <c r="F564" t="s">
        <v>37</v>
      </c>
      <c r="G564" t="s">
        <v>38</v>
      </c>
      <c r="H564" s="1">
        <v>45484</v>
      </c>
      <c r="I564" t="s">
        <v>583</v>
      </c>
      <c r="J564" t="s">
        <v>34</v>
      </c>
      <c r="K564" t="s">
        <v>35</v>
      </c>
      <c r="L564" s="3">
        <f>IF(Sales_Table[[#This Row],[Revenue]]=0,0,Sales_Table[[#This Row],[Revenue]]/Sales_Table[[#This Row],[Profit]])</f>
        <v>2.6712623869021974</v>
      </c>
    </row>
    <row r="565" spans="1:12" x14ac:dyDescent="0.5">
      <c r="A565" t="s">
        <v>582</v>
      </c>
      <c r="B565">
        <v>6200</v>
      </c>
      <c r="C565">
        <v>2321</v>
      </c>
      <c r="D565">
        <v>18</v>
      </c>
      <c r="E565" t="s">
        <v>36</v>
      </c>
      <c r="F565" t="s">
        <v>37</v>
      </c>
      <c r="G565" t="s">
        <v>38</v>
      </c>
      <c r="H565" s="1">
        <v>45556</v>
      </c>
      <c r="I565" t="s">
        <v>584</v>
      </c>
      <c r="J565" t="s">
        <v>14</v>
      </c>
      <c r="K565" t="s">
        <v>15</v>
      </c>
      <c r="L565" s="3">
        <f>IF(Sales_Table[[#This Row],[Revenue]]=0,0,Sales_Table[[#This Row],[Revenue]]/Sales_Table[[#This Row],[Profit]])</f>
        <v>2.6712623869021974</v>
      </c>
    </row>
    <row r="566" spans="1:12" x14ac:dyDescent="0.5">
      <c r="A566" t="s">
        <v>585</v>
      </c>
      <c r="B566">
        <v>4470</v>
      </c>
      <c r="C566">
        <v>413</v>
      </c>
      <c r="D566">
        <v>13</v>
      </c>
      <c r="E566" t="s">
        <v>10</v>
      </c>
      <c r="F566" t="s">
        <v>31</v>
      </c>
      <c r="G566" t="s">
        <v>12</v>
      </c>
      <c r="H566" s="1">
        <v>45690</v>
      </c>
      <c r="I566" t="s">
        <v>586</v>
      </c>
      <c r="J566" t="s">
        <v>34</v>
      </c>
      <c r="K566" t="s">
        <v>35</v>
      </c>
      <c r="L566" s="3">
        <f>IF(Sales_Table[[#This Row],[Revenue]]=0,0,Sales_Table[[#This Row],[Revenue]]/Sales_Table[[#This Row],[Profit]])</f>
        <v>10.823244552058112</v>
      </c>
    </row>
    <row r="567" spans="1:12" x14ac:dyDescent="0.5">
      <c r="A567" t="s">
        <v>587</v>
      </c>
      <c r="B567">
        <v>916</v>
      </c>
      <c r="C567">
        <v>362</v>
      </c>
      <c r="D567">
        <v>7</v>
      </c>
      <c r="E567" t="s">
        <v>24</v>
      </c>
      <c r="F567" t="s">
        <v>25</v>
      </c>
      <c r="G567" t="s">
        <v>12</v>
      </c>
      <c r="H567" s="1">
        <v>44855</v>
      </c>
      <c r="I567" t="s">
        <v>588</v>
      </c>
      <c r="J567" t="s">
        <v>17</v>
      </c>
      <c r="K567" t="s">
        <v>51</v>
      </c>
      <c r="L567" s="3">
        <f>IF(Sales_Table[[#This Row],[Revenue]]=0,0,Sales_Table[[#This Row],[Revenue]]/Sales_Table[[#This Row],[Profit]])</f>
        <v>2.5303867403314917</v>
      </c>
    </row>
    <row r="568" spans="1:12" x14ac:dyDescent="0.5">
      <c r="A568" t="s">
        <v>587</v>
      </c>
      <c r="B568">
        <v>916</v>
      </c>
      <c r="C568">
        <v>362</v>
      </c>
      <c r="D568">
        <v>7</v>
      </c>
      <c r="E568" t="s">
        <v>24</v>
      </c>
      <c r="F568" t="s">
        <v>25</v>
      </c>
      <c r="G568" t="s">
        <v>12</v>
      </c>
      <c r="H568" s="1">
        <v>44125</v>
      </c>
      <c r="I568" t="s">
        <v>589</v>
      </c>
      <c r="J568" t="s">
        <v>34</v>
      </c>
      <c r="K568" t="s">
        <v>75</v>
      </c>
      <c r="L568" s="3">
        <f>IF(Sales_Table[[#This Row],[Revenue]]=0,0,Sales_Table[[#This Row],[Revenue]]/Sales_Table[[#This Row],[Profit]])</f>
        <v>2.5303867403314917</v>
      </c>
    </row>
    <row r="569" spans="1:12" x14ac:dyDescent="0.5">
      <c r="A569" t="s">
        <v>587</v>
      </c>
      <c r="B569">
        <v>1165</v>
      </c>
      <c r="C569">
        <v>302</v>
      </c>
      <c r="D569">
        <v>20</v>
      </c>
      <c r="E569" t="s">
        <v>36</v>
      </c>
      <c r="F569" t="s">
        <v>48</v>
      </c>
      <c r="G569" t="s">
        <v>12</v>
      </c>
      <c r="H569" s="1">
        <v>44855</v>
      </c>
      <c r="I569" t="s">
        <v>588</v>
      </c>
      <c r="J569" t="s">
        <v>17</v>
      </c>
      <c r="K569" t="s">
        <v>51</v>
      </c>
      <c r="L569" s="3">
        <f>IF(Sales_Table[[#This Row],[Revenue]]=0,0,Sales_Table[[#This Row],[Revenue]]/Sales_Table[[#This Row],[Profit]])</f>
        <v>3.8576158940397351</v>
      </c>
    </row>
    <row r="570" spans="1:12" x14ac:dyDescent="0.5">
      <c r="A570" t="s">
        <v>587</v>
      </c>
      <c r="B570">
        <v>1165</v>
      </c>
      <c r="C570">
        <v>302</v>
      </c>
      <c r="D570">
        <v>20</v>
      </c>
      <c r="E570" t="s">
        <v>36</v>
      </c>
      <c r="F570" t="s">
        <v>48</v>
      </c>
      <c r="G570" t="s">
        <v>12</v>
      </c>
      <c r="H570" s="1">
        <v>44125</v>
      </c>
      <c r="I570" t="s">
        <v>589</v>
      </c>
      <c r="J570" t="s">
        <v>34</v>
      </c>
      <c r="K570" t="s">
        <v>75</v>
      </c>
      <c r="L570" s="3">
        <f>IF(Sales_Table[[#This Row],[Revenue]]=0,0,Sales_Table[[#This Row],[Revenue]]/Sales_Table[[#This Row],[Profit]])</f>
        <v>3.8576158940397351</v>
      </c>
    </row>
    <row r="571" spans="1:12" x14ac:dyDescent="0.5">
      <c r="A571" t="s">
        <v>587</v>
      </c>
      <c r="B571">
        <v>7846</v>
      </c>
      <c r="C571">
        <v>677</v>
      </c>
      <c r="D571">
        <v>12</v>
      </c>
      <c r="E571" t="s">
        <v>36</v>
      </c>
      <c r="F571" t="s">
        <v>40</v>
      </c>
      <c r="G571" t="s">
        <v>12</v>
      </c>
      <c r="H571" s="1">
        <v>44855</v>
      </c>
      <c r="I571" t="s">
        <v>588</v>
      </c>
      <c r="J571" t="s">
        <v>17</v>
      </c>
      <c r="K571" t="s">
        <v>51</v>
      </c>
      <c r="L571" s="3">
        <f>IF(Sales_Table[[#This Row],[Revenue]]=0,0,Sales_Table[[#This Row],[Revenue]]/Sales_Table[[#This Row],[Profit]])</f>
        <v>11.589364844903988</v>
      </c>
    </row>
    <row r="572" spans="1:12" x14ac:dyDescent="0.5">
      <c r="A572" t="s">
        <v>587</v>
      </c>
      <c r="B572">
        <v>7846</v>
      </c>
      <c r="C572">
        <v>677</v>
      </c>
      <c r="D572">
        <v>12</v>
      </c>
      <c r="E572" t="s">
        <v>36</v>
      </c>
      <c r="F572" t="s">
        <v>40</v>
      </c>
      <c r="G572" t="s">
        <v>12</v>
      </c>
      <c r="H572" s="1">
        <v>44125</v>
      </c>
      <c r="I572" t="s">
        <v>589</v>
      </c>
      <c r="J572" t="s">
        <v>34</v>
      </c>
      <c r="K572" t="s">
        <v>75</v>
      </c>
      <c r="L572" s="3">
        <f>IF(Sales_Table[[#This Row],[Revenue]]=0,0,Sales_Table[[#This Row],[Revenue]]/Sales_Table[[#This Row],[Profit]])</f>
        <v>11.589364844903988</v>
      </c>
    </row>
    <row r="573" spans="1:12" x14ac:dyDescent="0.5">
      <c r="A573" t="s">
        <v>590</v>
      </c>
      <c r="B573">
        <v>3022</v>
      </c>
      <c r="C573">
        <v>384</v>
      </c>
      <c r="D573">
        <v>1</v>
      </c>
      <c r="E573" t="s">
        <v>24</v>
      </c>
      <c r="F573" t="s">
        <v>25</v>
      </c>
      <c r="G573" t="s">
        <v>38</v>
      </c>
      <c r="H573" s="1">
        <v>44572</v>
      </c>
      <c r="I573" t="s">
        <v>591</v>
      </c>
      <c r="J573" t="s">
        <v>59</v>
      </c>
      <c r="K573" t="s">
        <v>71</v>
      </c>
      <c r="L573" s="3">
        <f>IF(Sales_Table[[#This Row],[Revenue]]=0,0,Sales_Table[[#This Row],[Revenue]]/Sales_Table[[#This Row],[Profit]])</f>
        <v>7.869791666666667</v>
      </c>
    </row>
    <row r="574" spans="1:12" x14ac:dyDescent="0.5">
      <c r="A574" t="s">
        <v>590</v>
      </c>
      <c r="B574">
        <v>3022</v>
      </c>
      <c r="C574">
        <v>384</v>
      </c>
      <c r="D574">
        <v>1</v>
      </c>
      <c r="E574" t="s">
        <v>24</v>
      </c>
      <c r="F574" t="s">
        <v>25</v>
      </c>
      <c r="G574" t="s">
        <v>38</v>
      </c>
      <c r="H574" s="1">
        <v>44244</v>
      </c>
      <c r="I574" t="s">
        <v>592</v>
      </c>
      <c r="J574" t="s">
        <v>17</v>
      </c>
      <c r="K574" t="s">
        <v>18</v>
      </c>
      <c r="L574" s="3">
        <f>IF(Sales_Table[[#This Row],[Revenue]]=0,0,Sales_Table[[#This Row],[Revenue]]/Sales_Table[[#This Row],[Profit]])</f>
        <v>7.869791666666667</v>
      </c>
    </row>
    <row r="575" spans="1:12" x14ac:dyDescent="0.5">
      <c r="A575" t="s">
        <v>590</v>
      </c>
      <c r="B575">
        <v>5266</v>
      </c>
      <c r="C575">
        <v>1111</v>
      </c>
      <c r="D575">
        <v>13</v>
      </c>
      <c r="E575" t="s">
        <v>10</v>
      </c>
      <c r="F575" t="s">
        <v>11</v>
      </c>
      <c r="G575" t="s">
        <v>26</v>
      </c>
      <c r="H575" s="1">
        <v>44572</v>
      </c>
      <c r="I575" t="s">
        <v>591</v>
      </c>
      <c r="J575" t="s">
        <v>59</v>
      </c>
      <c r="K575" t="s">
        <v>71</v>
      </c>
      <c r="L575" s="3">
        <f>IF(Sales_Table[[#This Row],[Revenue]]=0,0,Sales_Table[[#This Row],[Revenue]]/Sales_Table[[#This Row],[Profit]])</f>
        <v>4.7398739873987399</v>
      </c>
    </row>
    <row r="576" spans="1:12" x14ac:dyDescent="0.5">
      <c r="A576" t="s">
        <v>590</v>
      </c>
      <c r="B576">
        <v>5266</v>
      </c>
      <c r="C576">
        <v>1111</v>
      </c>
      <c r="D576">
        <v>13</v>
      </c>
      <c r="E576" t="s">
        <v>10</v>
      </c>
      <c r="F576" t="s">
        <v>11</v>
      </c>
      <c r="G576" t="s">
        <v>26</v>
      </c>
      <c r="H576" s="1">
        <v>44244</v>
      </c>
      <c r="I576" t="s">
        <v>592</v>
      </c>
      <c r="J576" t="s">
        <v>17</v>
      </c>
      <c r="K576" t="s">
        <v>18</v>
      </c>
      <c r="L576" s="3">
        <f>IF(Sales_Table[[#This Row],[Revenue]]=0,0,Sales_Table[[#This Row],[Revenue]]/Sales_Table[[#This Row],[Profit]])</f>
        <v>4.7398739873987399</v>
      </c>
    </row>
    <row r="577" spans="1:12" x14ac:dyDescent="0.5">
      <c r="A577" t="s">
        <v>593</v>
      </c>
      <c r="B577">
        <v>4853</v>
      </c>
      <c r="C577">
        <v>1764</v>
      </c>
      <c r="D577">
        <v>9</v>
      </c>
      <c r="E577" t="s">
        <v>24</v>
      </c>
      <c r="F577" t="s">
        <v>25</v>
      </c>
      <c r="G577" t="s">
        <v>26</v>
      </c>
      <c r="H577" s="1">
        <v>44506</v>
      </c>
      <c r="I577" t="s">
        <v>594</v>
      </c>
      <c r="J577" t="s">
        <v>14</v>
      </c>
      <c r="K577" t="s">
        <v>28</v>
      </c>
      <c r="L577" s="3">
        <f>IF(Sales_Table[[#This Row],[Revenue]]=0,0,Sales_Table[[#This Row],[Revenue]]/Sales_Table[[#This Row],[Profit]])</f>
        <v>2.7511337868480727</v>
      </c>
    </row>
    <row r="578" spans="1:12" x14ac:dyDescent="0.5">
      <c r="A578" t="s">
        <v>593</v>
      </c>
      <c r="B578">
        <v>4853</v>
      </c>
      <c r="C578">
        <v>1764</v>
      </c>
      <c r="D578">
        <v>9</v>
      </c>
      <c r="E578" t="s">
        <v>24</v>
      </c>
      <c r="F578" t="s">
        <v>25</v>
      </c>
      <c r="G578" t="s">
        <v>26</v>
      </c>
      <c r="H578" s="1">
        <v>44803</v>
      </c>
      <c r="I578" t="s">
        <v>595</v>
      </c>
      <c r="J578" t="s">
        <v>59</v>
      </c>
      <c r="K578" t="s">
        <v>108</v>
      </c>
      <c r="L578" s="3">
        <f>IF(Sales_Table[[#This Row],[Revenue]]=0,0,Sales_Table[[#This Row],[Revenue]]/Sales_Table[[#This Row],[Profit]])</f>
        <v>2.7511337868480727</v>
      </c>
    </row>
    <row r="579" spans="1:12" x14ac:dyDescent="0.5">
      <c r="A579" t="s">
        <v>596</v>
      </c>
      <c r="B579">
        <v>9832</v>
      </c>
      <c r="C579">
        <v>1270</v>
      </c>
      <c r="D579">
        <v>1</v>
      </c>
      <c r="E579" t="s">
        <v>24</v>
      </c>
      <c r="F579" t="s">
        <v>25</v>
      </c>
      <c r="G579" t="s">
        <v>53</v>
      </c>
      <c r="H579" s="1">
        <v>44841</v>
      </c>
      <c r="I579" t="s">
        <v>597</v>
      </c>
      <c r="J579" t="s">
        <v>34</v>
      </c>
      <c r="K579" t="s">
        <v>75</v>
      </c>
      <c r="L579" s="3">
        <f>IF(Sales_Table[[#This Row],[Revenue]]=0,0,Sales_Table[[#This Row],[Revenue]]/Sales_Table[[#This Row],[Profit]])</f>
        <v>7.7417322834645672</v>
      </c>
    </row>
    <row r="580" spans="1:12" x14ac:dyDescent="0.5">
      <c r="A580" t="s">
        <v>596</v>
      </c>
      <c r="B580">
        <v>796</v>
      </c>
      <c r="C580">
        <v>153</v>
      </c>
      <c r="D580">
        <v>15</v>
      </c>
      <c r="E580" t="s">
        <v>24</v>
      </c>
      <c r="F580" t="s">
        <v>25</v>
      </c>
      <c r="G580" t="s">
        <v>38</v>
      </c>
      <c r="H580" s="1">
        <v>44841</v>
      </c>
      <c r="I580" t="s">
        <v>597</v>
      </c>
      <c r="J580" t="s">
        <v>34</v>
      </c>
      <c r="K580" t="s">
        <v>75</v>
      </c>
      <c r="L580" s="3">
        <f>IF(Sales_Table[[#This Row],[Revenue]]=0,0,Sales_Table[[#This Row],[Revenue]]/Sales_Table[[#This Row],[Profit]])</f>
        <v>5.2026143790849675</v>
      </c>
    </row>
    <row r="581" spans="1:12" x14ac:dyDescent="0.5">
      <c r="A581" t="s">
        <v>598</v>
      </c>
      <c r="B581">
        <v>883</v>
      </c>
      <c r="C581">
        <v>127</v>
      </c>
      <c r="D581">
        <v>7</v>
      </c>
      <c r="E581" t="s">
        <v>36</v>
      </c>
      <c r="F581" t="s">
        <v>40</v>
      </c>
      <c r="G581" t="s">
        <v>53</v>
      </c>
      <c r="H581" s="1">
        <v>45081</v>
      </c>
      <c r="I581" t="s">
        <v>599</v>
      </c>
      <c r="J581" t="s">
        <v>34</v>
      </c>
      <c r="K581" t="s">
        <v>75</v>
      </c>
      <c r="L581" s="3">
        <f>IF(Sales_Table[[#This Row],[Revenue]]=0,0,Sales_Table[[#This Row],[Revenue]]/Sales_Table[[#This Row],[Profit]])</f>
        <v>6.9527559055118111</v>
      </c>
    </row>
    <row r="582" spans="1:12" x14ac:dyDescent="0.5">
      <c r="A582" t="s">
        <v>598</v>
      </c>
      <c r="B582">
        <v>4539</v>
      </c>
      <c r="C582">
        <v>1155</v>
      </c>
      <c r="D582">
        <v>8</v>
      </c>
      <c r="E582" t="s">
        <v>36</v>
      </c>
      <c r="F582" t="s">
        <v>87</v>
      </c>
      <c r="G582" t="s">
        <v>26</v>
      </c>
      <c r="H582" s="1">
        <v>45081</v>
      </c>
      <c r="I582" t="s">
        <v>599</v>
      </c>
      <c r="J582" t="s">
        <v>34</v>
      </c>
      <c r="K582" t="s">
        <v>75</v>
      </c>
      <c r="L582" s="3">
        <f>IF(Sales_Table[[#This Row],[Revenue]]=0,0,Sales_Table[[#This Row],[Revenue]]/Sales_Table[[#This Row],[Profit]])</f>
        <v>3.92987012987013</v>
      </c>
    </row>
    <row r="583" spans="1:12" x14ac:dyDescent="0.5">
      <c r="A583" t="s">
        <v>598</v>
      </c>
      <c r="B583">
        <v>9659</v>
      </c>
      <c r="C583">
        <v>2226</v>
      </c>
      <c r="D583">
        <v>16</v>
      </c>
      <c r="E583" t="s">
        <v>24</v>
      </c>
      <c r="F583" t="s">
        <v>64</v>
      </c>
      <c r="G583" t="s">
        <v>26</v>
      </c>
      <c r="H583" s="1">
        <v>45081</v>
      </c>
      <c r="I583" t="s">
        <v>599</v>
      </c>
      <c r="J583" t="s">
        <v>34</v>
      </c>
      <c r="K583" t="s">
        <v>75</v>
      </c>
      <c r="L583" s="3">
        <f>IF(Sales_Table[[#This Row],[Revenue]]=0,0,Sales_Table[[#This Row],[Revenue]]/Sales_Table[[#This Row],[Profit]])</f>
        <v>4.3391734052111408</v>
      </c>
    </row>
    <row r="584" spans="1:12" x14ac:dyDescent="0.5">
      <c r="A584" t="s">
        <v>600</v>
      </c>
      <c r="B584">
        <v>9562</v>
      </c>
      <c r="C584">
        <v>325</v>
      </c>
      <c r="D584">
        <v>2</v>
      </c>
      <c r="E584" t="s">
        <v>10</v>
      </c>
      <c r="F584" t="s">
        <v>22</v>
      </c>
      <c r="G584" t="s">
        <v>26</v>
      </c>
      <c r="H584" s="1">
        <v>44694</v>
      </c>
      <c r="I584" t="s">
        <v>601</v>
      </c>
      <c r="J584" t="s">
        <v>34</v>
      </c>
      <c r="K584" t="s">
        <v>62</v>
      </c>
      <c r="L584" s="3">
        <f>IF(Sales_Table[[#This Row],[Revenue]]=0,0,Sales_Table[[#This Row],[Revenue]]/Sales_Table[[#This Row],[Profit]])</f>
        <v>29.421538461538461</v>
      </c>
    </row>
    <row r="585" spans="1:12" x14ac:dyDescent="0.5">
      <c r="A585" t="s">
        <v>602</v>
      </c>
      <c r="B585">
        <v>4688</v>
      </c>
      <c r="C585">
        <v>1841</v>
      </c>
      <c r="D585">
        <v>3</v>
      </c>
      <c r="E585" t="s">
        <v>10</v>
      </c>
      <c r="F585" t="s">
        <v>31</v>
      </c>
      <c r="G585" t="s">
        <v>38</v>
      </c>
      <c r="H585" s="1">
        <v>44949</v>
      </c>
      <c r="I585" t="s">
        <v>603</v>
      </c>
      <c r="J585" t="s">
        <v>34</v>
      </c>
      <c r="K585" t="s">
        <v>75</v>
      </c>
      <c r="L585" s="3">
        <f>IF(Sales_Table[[#This Row],[Revenue]]=0,0,Sales_Table[[#This Row],[Revenue]]/Sales_Table[[#This Row],[Profit]])</f>
        <v>2.5464421510048885</v>
      </c>
    </row>
    <row r="586" spans="1:12" x14ac:dyDescent="0.5">
      <c r="A586" t="s">
        <v>602</v>
      </c>
      <c r="B586">
        <v>4688</v>
      </c>
      <c r="C586">
        <v>1841</v>
      </c>
      <c r="D586">
        <v>3</v>
      </c>
      <c r="E586" t="s">
        <v>10</v>
      </c>
      <c r="F586" t="s">
        <v>31</v>
      </c>
      <c r="G586" t="s">
        <v>38</v>
      </c>
      <c r="H586" s="1">
        <v>44402</v>
      </c>
      <c r="I586" t="s">
        <v>604</v>
      </c>
      <c r="J586" t="s">
        <v>34</v>
      </c>
      <c r="K586" t="s">
        <v>62</v>
      </c>
      <c r="L586" s="3">
        <f>IF(Sales_Table[[#This Row],[Revenue]]=0,0,Sales_Table[[#This Row],[Revenue]]/Sales_Table[[#This Row],[Profit]])</f>
        <v>2.5464421510048885</v>
      </c>
    </row>
    <row r="587" spans="1:12" x14ac:dyDescent="0.5">
      <c r="A587" t="s">
        <v>605</v>
      </c>
      <c r="B587">
        <v>7900</v>
      </c>
      <c r="C587">
        <v>482</v>
      </c>
      <c r="D587">
        <v>4</v>
      </c>
      <c r="E587" t="s">
        <v>10</v>
      </c>
      <c r="F587" t="s">
        <v>67</v>
      </c>
      <c r="G587" t="s">
        <v>53</v>
      </c>
      <c r="H587" s="1">
        <v>45724</v>
      </c>
      <c r="I587" t="s">
        <v>606</v>
      </c>
      <c r="J587" t="s">
        <v>79</v>
      </c>
      <c r="K587" t="s">
        <v>80</v>
      </c>
      <c r="L587" s="3">
        <f>IF(Sales_Table[[#This Row],[Revenue]]=0,0,Sales_Table[[#This Row],[Revenue]]/Sales_Table[[#This Row],[Profit]])</f>
        <v>16.390041493775932</v>
      </c>
    </row>
    <row r="588" spans="1:12" x14ac:dyDescent="0.5">
      <c r="A588" t="s">
        <v>607</v>
      </c>
      <c r="B588">
        <v>6967</v>
      </c>
      <c r="C588">
        <v>3257</v>
      </c>
      <c r="D588">
        <v>17</v>
      </c>
      <c r="E588" t="s">
        <v>36</v>
      </c>
      <c r="F588" t="s">
        <v>87</v>
      </c>
      <c r="G588" t="s">
        <v>53</v>
      </c>
      <c r="H588" s="1">
        <v>44920</v>
      </c>
      <c r="I588" t="s">
        <v>608</v>
      </c>
      <c r="J588" t="s">
        <v>79</v>
      </c>
      <c r="K588" t="s">
        <v>86</v>
      </c>
      <c r="L588" s="3">
        <f>IF(Sales_Table[[#This Row],[Revenue]]=0,0,Sales_Table[[#This Row],[Revenue]]/Sales_Table[[#This Row],[Profit]])</f>
        <v>2.1390850475898064</v>
      </c>
    </row>
    <row r="589" spans="1:12" x14ac:dyDescent="0.5">
      <c r="A589" t="s">
        <v>607</v>
      </c>
      <c r="B589">
        <v>1091</v>
      </c>
      <c r="C589">
        <v>277</v>
      </c>
      <c r="D589">
        <v>6</v>
      </c>
      <c r="E589" t="s">
        <v>24</v>
      </c>
      <c r="F589" t="s">
        <v>52</v>
      </c>
      <c r="G589" t="s">
        <v>53</v>
      </c>
      <c r="H589" s="1">
        <v>44920</v>
      </c>
      <c r="I589" t="s">
        <v>608</v>
      </c>
      <c r="J589" t="s">
        <v>79</v>
      </c>
      <c r="K589" t="s">
        <v>86</v>
      </c>
      <c r="L589" s="3">
        <f>IF(Sales_Table[[#This Row],[Revenue]]=0,0,Sales_Table[[#This Row],[Revenue]]/Sales_Table[[#This Row],[Profit]])</f>
        <v>3.9386281588447654</v>
      </c>
    </row>
    <row r="590" spans="1:12" x14ac:dyDescent="0.5">
      <c r="A590" t="s">
        <v>607</v>
      </c>
      <c r="B590">
        <v>6027</v>
      </c>
      <c r="C590">
        <v>1530</v>
      </c>
      <c r="D590">
        <v>2</v>
      </c>
      <c r="E590" t="s">
        <v>24</v>
      </c>
      <c r="F590" t="s">
        <v>64</v>
      </c>
      <c r="G590" t="s">
        <v>38</v>
      </c>
      <c r="H590" s="1">
        <v>44920</v>
      </c>
      <c r="I590" t="s">
        <v>608</v>
      </c>
      <c r="J590" t="s">
        <v>79</v>
      </c>
      <c r="K590" t="s">
        <v>86</v>
      </c>
      <c r="L590" s="3">
        <f>IF(Sales_Table[[#This Row],[Revenue]]=0,0,Sales_Table[[#This Row],[Revenue]]/Sales_Table[[#This Row],[Profit]])</f>
        <v>3.93921568627451</v>
      </c>
    </row>
    <row r="591" spans="1:12" x14ac:dyDescent="0.5">
      <c r="A591" t="s">
        <v>609</v>
      </c>
      <c r="B591">
        <v>4852</v>
      </c>
      <c r="C591">
        <v>218</v>
      </c>
      <c r="D591">
        <v>2</v>
      </c>
      <c r="E591" t="s">
        <v>36</v>
      </c>
      <c r="F591" t="s">
        <v>37</v>
      </c>
      <c r="G591" t="s">
        <v>32</v>
      </c>
      <c r="H591" s="1">
        <v>45406</v>
      </c>
      <c r="I591" t="s">
        <v>610</v>
      </c>
      <c r="J591" t="s">
        <v>59</v>
      </c>
      <c r="K591" t="s">
        <v>60</v>
      </c>
      <c r="L591" s="3">
        <f>IF(Sales_Table[[#This Row],[Revenue]]=0,0,Sales_Table[[#This Row],[Revenue]]/Sales_Table[[#This Row],[Profit]])</f>
        <v>22.256880733944953</v>
      </c>
    </row>
    <row r="592" spans="1:12" x14ac:dyDescent="0.5">
      <c r="A592" t="s">
        <v>609</v>
      </c>
      <c r="B592">
        <v>4852</v>
      </c>
      <c r="C592">
        <v>218</v>
      </c>
      <c r="D592">
        <v>2</v>
      </c>
      <c r="E592" t="s">
        <v>36</v>
      </c>
      <c r="F592" t="s">
        <v>37</v>
      </c>
      <c r="G592" t="s">
        <v>32</v>
      </c>
      <c r="H592" s="1">
        <v>44554</v>
      </c>
      <c r="I592" t="s">
        <v>611</v>
      </c>
      <c r="J592" t="s">
        <v>14</v>
      </c>
      <c r="K592" t="s">
        <v>118</v>
      </c>
      <c r="L592" s="3">
        <f>IF(Sales_Table[[#This Row],[Revenue]]=0,0,Sales_Table[[#This Row],[Revenue]]/Sales_Table[[#This Row],[Profit]])</f>
        <v>22.256880733944953</v>
      </c>
    </row>
    <row r="593" spans="1:12" x14ac:dyDescent="0.5">
      <c r="A593" t="s">
        <v>609</v>
      </c>
      <c r="B593">
        <v>4852</v>
      </c>
      <c r="C593">
        <v>218</v>
      </c>
      <c r="D593">
        <v>2</v>
      </c>
      <c r="E593" t="s">
        <v>36</v>
      </c>
      <c r="F593" t="s">
        <v>37</v>
      </c>
      <c r="G593" t="s">
        <v>32</v>
      </c>
      <c r="H593" s="1">
        <v>45176</v>
      </c>
      <c r="I593" t="s">
        <v>612</v>
      </c>
      <c r="J593" t="s">
        <v>17</v>
      </c>
      <c r="K593" t="s">
        <v>51</v>
      </c>
      <c r="L593" s="3">
        <f>IF(Sales_Table[[#This Row],[Revenue]]=0,0,Sales_Table[[#This Row],[Revenue]]/Sales_Table[[#This Row],[Profit]])</f>
        <v>22.256880733944953</v>
      </c>
    </row>
    <row r="594" spans="1:12" x14ac:dyDescent="0.5">
      <c r="A594" t="s">
        <v>613</v>
      </c>
      <c r="B594">
        <v>4314</v>
      </c>
      <c r="C594">
        <v>1453</v>
      </c>
      <c r="D594">
        <v>6</v>
      </c>
      <c r="E594" t="s">
        <v>36</v>
      </c>
      <c r="F594" t="s">
        <v>48</v>
      </c>
      <c r="G594" t="s">
        <v>53</v>
      </c>
      <c r="H594" s="1">
        <v>44418</v>
      </c>
      <c r="I594" t="s">
        <v>614</v>
      </c>
      <c r="J594" t="s">
        <v>14</v>
      </c>
      <c r="K594" t="s">
        <v>118</v>
      </c>
      <c r="L594" s="3">
        <f>IF(Sales_Table[[#This Row],[Revenue]]=0,0,Sales_Table[[#This Row],[Revenue]]/Sales_Table[[#This Row],[Profit]])</f>
        <v>2.9690295939435649</v>
      </c>
    </row>
    <row r="595" spans="1:12" x14ac:dyDescent="0.5">
      <c r="A595" t="s">
        <v>615</v>
      </c>
      <c r="B595">
        <v>3288</v>
      </c>
      <c r="C595">
        <v>1477</v>
      </c>
      <c r="D595">
        <v>3</v>
      </c>
      <c r="E595" t="s">
        <v>24</v>
      </c>
      <c r="F595" t="s">
        <v>25</v>
      </c>
      <c r="G595" t="s">
        <v>32</v>
      </c>
      <c r="H595" s="1">
        <v>45438</v>
      </c>
      <c r="I595" t="s">
        <v>616</v>
      </c>
      <c r="J595" t="s">
        <v>59</v>
      </c>
      <c r="K595" t="s">
        <v>71</v>
      </c>
      <c r="L595" s="3">
        <f>IF(Sales_Table[[#This Row],[Revenue]]=0,0,Sales_Table[[#This Row],[Revenue]]/Sales_Table[[#This Row],[Profit]])</f>
        <v>2.2261340555179419</v>
      </c>
    </row>
    <row r="596" spans="1:12" x14ac:dyDescent="0.5">
      <c r="A596" t="s">
        <v>615</v>
      </c>
      <c r="B596">
        <v>3288</v>
      </c>
      <c r="C596">
        <v>1477</v>
      </c>
      <c r="D596">
        <v>3</v>
      </c>
      <c r="E596" t="s">
        <v>24</v>
      </c>
      <c r="F596" t="s">
        <v>25</v>
      </c>
      <c r="G596" t="s">
        <v>32</v>
      </c>
      <c r="H596" s="1">
        <v>44611</v>
      </c>
      <c r="I596" t="s">
        <v>617</v>
      </c>
      <c r="J596" t="s">
        <v>17</v>
      </c>
      <c r="K596" t="s">
        <v>51</v>
      </c>
      <c r="L596" s="3">
        <f>IF(Sales_Table[[#This Row],[Revenue]]=0,0,Sales_Table[[#This Row],[Revenue]]/Sales_Table[[#This Row],[Profit]])</f>
        <v>2.2261340555179419</v>
      </c>
    </row>
    <row r="597" spans="1:12" x14ac:dyDescent="0.5">
      <c r="A597" t="s">
        <v>618</v>
      </c>
      <c r="B597">
        <v>3977</v>
      </c>
      <c r="C597">
        <v>813</v>
      </c>
      <c r="D597">
        <v>5</v>
      </c>
      <c r="E597" t="s">
        <v>24</v>
      </c>
      <c r="F597" t="s">
        <v>64</v>
      </c>
      <c r="G597" t="s">
        <v>38</v>
      </c>
      <c r="H597" s="1">
        <v>45635</v>
      </c>
      <c r="I597" t="s">
        <v>619</v>
      </c>
      <c r="J597" t="s">
        <v>20</v>
      </c>
      <c r="K597" t="s">
        <v>42</v>
      </c>
      <c r="L597" s="3">
        <f>IF(Sales_Table[[#This Row],[Revenue]]=0,0,Sales_Table[[#This Row],[Revenue]]/Sales_Table[[#This Row],[Profit]])</f>
        <v>4.8917589175891756</v>
      </c>
    </row>
    <row r="598" spans="1:12" x14ac:dyDescent="0.5">
      <c r="A598" t="s">
        <v>620</v>
      </c>
      <c r="B598">
        <v>6252</v>
      </c>
      <c r="C598">
        <v>1377</v>
      </c>
      <c r="D598">
        <v>2</v>
      </c>
      <c r="E598" t="s">
        <v>10</v>
      </c>
      <c r="F598" t="s">
        <v>22</v>
      </c>
      <c r="G598" t="s">
        <v>32</v>
      </c>
      <c r="H598" s="1">
        <v>45078</v>
      </c>
      <c r="I598" t="s">
        <v>621</v>
      </c>
      <c r="J598" t="s">
        <v>17</v>
      </c>
      <c r="K598" t="s">
        <v>18</v>
      </c>
      <c r="L598" s="3">
        <f>IF(Sales_Table[[#This Row],[Revenue]]=0,0,Sales_Table[[#This Row],[Revenue]]/Sales_Table[[#This Row],[Profit]])</f>
        <v>4.5403050108932463</v>
      </c>
    </row>
    <row r="599" spans="1:12" x14ac:dyDescent="0.5">
      <c r="A599" t="s">
        <v>622</v>
      </c>
      <c r="B599">
        <v>9084</v>
      </c>
      <c r="C599">
        <v>3253</v>
      </c>
      <c r="D599">
        <v>12</v>
      </c>
      <c r="E599" t="s">
        <v>24</v>
      </c>
      <c r="F599" t="s">
        <v>25</v>
      </c>
      <c r="G599" t="s">
        <v>26</v>
      </c>
      <c r="H599" s="1">
        <v>45235</v>
      </c>
      <c r="I599" t="s">
        <v>623</v>
      </c>
      <c r="J599" t="s">
        <v>20</v>
      </c>
      <c r="K599" t="s">
        <v>21</v>
      </c>
      <c r="L599" s="3">
        <f>IF(Sales_Table[[#This Row],[Revenue]]=0,0,Sales_Table[[#This Row],[Revenue]]/Sales_Table[[#This Row],[Profit]])</f>
        <v>2.7924992314786352</v>
      </c>
    </row>
    <row r="600" spans="1:12" x14ac:dyDescent="0.5">
      <c r="A600" t="s">
        <v>624</v>
      </c>
      <c r="B600">
        <v>8994</v>
      </c>
      <c r="C600">
        <v>1481</v>
      </c>
      <c r="D600">
        <v>15</v>
      </c>
      <c r="E600" t="s">
        <v>10</v>
      </c>
      <c r="F600" t="s">
        <v>67</v>
      </c>
      <c r="G600" t="s">
        <v>38</v>
      </c>
      <c r="H600" s="1">
        <v>44003</v>
      </c>
      <c r="I600" t="s">
        <v>625</v>
      </c>
      <c r="J600" t="s">
        <v>34</v>
      </c>
      <c r="K600" t="s">
        <v>62</v>
      </c>
      <c r="L600" s="3">
        <f>IF(Sales_Table[[#This Row],[Revenue]]=0,0,Sales_Table[[#This Row],[Revenue]]/Sales_Table[[#This Row],[Profit]])</f>
        <v>6.0729237002025656</v>
      </c>
    </row>
    <row r="601" spans="1:12" x14ac:dyDescent="0.5">
      <c r="A601" t="s">
        <v>626</v>
      </c>
      <c r="B601">
        <v>1089</v>
      </c>
      <c r="C601">
        <v>176</v>
      </c>
      <c r="D601">
        <v>16</v>
      </c>
      <c r="E601" t="s">
        <v>24</v>
      </c>
      <c r="F601" t="s">
        <v>46</v>
      </c>
      <c r="G601" t="s">
        <v>32</v>
      </c>
      <c r="H601" s="1">
        <v>44130</v>
      </c>
      <c r="I601" t="s">
        <v>627</v>
      </c>
      <c r="J601" t="s">
        <v>59</v>
      </c>
      <c r="K601" t="s">
        <v>60</v>
      </c>
      <c r="L601" s="3">
        <f>IF(Sales_Table[[#This Row],[Revenue]]=0,0,Sales_Table[[#This Row],[Revenue]]/Sales_Table[[#This Row],[Profit]])</f>
        <v>6.1875</v>
      </c>
    </row>
    <row r="602" spans="1:12" x14ac:dyDescent="0.5">
      <c r="A602" t="s">
        <v>628</v>
      </c>
      <c r="B602">
        <v>6690</v>
      </c>
      <c r="C602">
        <v>1001</v>
      </c>
      <c r="D602">
        <v>19</v>
      </c>
      <c r="E602" t="s">
        <v>24</v>
      </c>
      <c r="F602" t="s">
        <v>64</v>
      </c>
      <c r="G602" t="s">
        <v>12</v>
      </c>
      <c r="H602" s="1">
        <v>44718</v>
      </c>
      <c r="I602" t="s">
        <v>629</v>
      </c>
      <c r="J602" t="s">
        <v>17</v>
      </c>
      <c r="K602" t="s">
        <v>51</v>
      </c>
      <c r="L602" s="3">
        <f>IF(Sales_Table[[#This Row],[Revenue]]=0,0,Sales_Table[[#This Row],[Revenue]]/Sales_Table[[#This Row],[Profit]])</f>
        <v>6.6833166833166837</v>
      </c>
    </row>
    <row r="603" spans="1:12" x14ac:dyDescent="0.5">
      <c r="A603" t="s">
        <v>628</v>
      </c>
      <c r="B603">
        <v>6690</v>
      </c>
      <c r="C603">
        <v>1001</v>
      </c>
      <c r="D603">
        <v>19</v>
      </c>
      <c r="E603" t="s">
        <v>24</v>
      </c>
      <c r="F603" t="s">
        <v>64</v>
      </c>
      <c r="G603" t="s">
        <v>12</v>
      </c>
      <c r="H603" s="1">
        <v>44513</v>
      </c>
      <c r="I603" t="s">
        <v>630</v>
      </c>
      <c r="J603" t="s">
        <v>17</v>
      </c>
      <c r="K603" t="s">
        <v>18</v>
      </c>
      <c r="L603" s="3">
        <f>IF(Sales_Table[[#This Row],[Revenue]]=0,0,Sales_Table[[#This Row],[Revenue]]/Sales_Table[[#This Row],[Profit]])</f>
        <v>6.6833166833166837</v>
      </c>
    </row>
    <row r="604" spans="1:12" x14ac:dyDescent="0.5">
      <c r="A604" t="s">
        <v>628</v>
      </c>
      <c r="B604">
        <v>4985</v>
      </c>
      <c r="C604">
        <v>1920</v>
      </c>
      <c r="D604">
        <v>10</v>
      </c>
      <c r="E604" t="s">
        <v>36</v>
      </c>
      <c r="F604" t="s">
        <v>87</v>
      </c>
      <c r="G604" t="s">
        <v>38</v>
      </c>
      <c r="H604" s="1">
        <v>44718</v>
      </c>
      <c r="I604" t="s">
        <v>629</v>
      </c>
      <c r="J604" t="s">
        <v>17</v>
      </c>
      <c r="K604" t="s">
        <v>51</v>
      </c>
      <c r="L604" s="3">
        <f>IF(Sales_Table[[#This Row],[Revenue]]=0,0,Sales_Table[[#This Row],[Revenue]]/Sales_Table[[#This Row],[Profit]])</f>
        <v>2.5963541666666665</v>
      </c>
    </row>
    <row r="605" spans="1:12" x14ac:dyDescent="0.5">
      <c r="A605" t="s">
        <v>628</v>
      </c>
      <c r="B605">
        <v>4985</v>
      </c>
      <c r="C605">
        <v>1920</v>
      </c>
      <c r="D605">
        <v>10</v>
      </c>
      <c r="E605" t="s">
        <v>36</v>
      </c>
      <c r="F605" t="s">
        <v>87</v>
      </c>
      <c r="G605" t="s">
        <v>38</v>
      </c>
      <c r="H605" s="1">
        <v>44513</v>
      </c>
      <c r="I605" t="s">
        <v>630</v>
      </c>
      <c r="J605" t="s">
        <v>17</v>
      </c>
      <c r="K605" t="s">
        <v>18</v>
      </c>
      <c r="L605" s="3">
        <f>IF(Sales_Table[[#This Row],[Revenue]]=0,0,Sales_Table[[#This Row],[Revenue]]/Sales_Table[[#This Row],[Profit]])</f>
        <v>2.5963541666666665</v>
      </c>
    </row>
    <row r="606" spans="1:12" x14ac:dyDescent="0.5">
      <c r="A606" t="s">
        <v>631</v>
      </c>
      <c r="B606">
        <v>8590</v>
      </c>
      <c r="C606">
        <v>3565</v>
      </c>
      <c r="D606">
        <v>15</v>
      </c>
      <c r="E606" t="s">
        <v>10</v>
      </c>
      <c r="F606" t="s">
        <v>11</v>
      </c>
      <c r="G606" t="s">
        <v>32</v>
      </c>
      <c r="H606" s="1">
        <v>44511</v>
      </c>
      <c r="I606" t="s">
        <v>632</v>
      </c>
      <c r="J606" t="s">
        <v>14</v>
      </c>
      <c r="K606" t="s">
        <v>15</v>
      </c>
      <c r="L606" s="3">
        <f>IF(Sales_Table[[#This Row],[Revenue]]=0,0,Sales_Table[[#This Row],[Revenue]]/Sales_Table[[#This Row],[Profit]])</f>
        <v>2.4095371669004209</v>
      </c>
    </row>
    <row r="607" spans="1:12" x14ac:dyDescent="0.5">
      <c r="A607" t="s">
        <v>631</v>
      </c>
      <c r="B607">
        <v>6973</v>
      </c>
      <c r="C607">
        <v>3038</v>
      </c>
      <c r="D607">
        <v>10</v>
      </c>
      <c r="E607" t="s">
        <v>36</v>
      </c>
      <c r="F607" t="s">
        <v>37</v>
      </c>
      <c r="G607" t="s">
        <v>53</v>
      </c>
      <c r="H607" s="1">
        <v>44511</v>
      </c>
      <c r="I607" t="s">
        <v>632</v>
      </c>
      <c r="J607" t="s">
        <v>14</v>
      </c>
      <c r="K607" t="s">
        <v>15</v>
      </c>
      <c r="L607" s="3">
        <f>IF(Sales_Table[[#This Row],[Revenue]]=0,0,Sales_Table[[#This Row],[Revenue]]/Sales_Table[[#This Row],[Profit]])</f>
        <v>2.2952600394996709</v>
      </c>
    </row>
    <row r="608" spans="1:12" x14ac:dyDescent="0.5">
      <c r="A608" t="s">
        <v>633</v>
      </c>
      <c r="B608">
        <v>4591</v>
      </c>
      <c r="C608">
        <v>1941</v>
      </c>
      <c r="D608">
        <v>19</v>
      </c>
      <c r="E608" t="s">
        <v>10</v>
      </c>
      <c r="F608" t="s">
        <v>22</v>
      </c>
      <c r="G608" t="s">
        <v>32</v>
      </c>
      <c r="H608" s="1">
        <v>44408</v>
      </c>
      <c r="I608" t="s">
        <v>412</v>
      </c>
      <c r="J608" t="s">
        <v>59</v>
      </c>
      <c r="K608" t="s">
        <v>60</v>
      </c>
      <c r="L608" s="3">
        <f>IF(Sales_Table[[#This Row],[Revenue]]=0,0,Sales_Table[[#This Row],[Revenue]]/Sales_Table[[#This Row],[Profit]])</f>
        <v>2.3652756311179806</v>
      </c>
    </row>
    <row r="609" spans="1:12" x14ac:dyDescent="0.5">
      <c r="A609" t="s">
        <v>633</v>
      </c>
      <c r="B609">
        <v>9612</v>
      </c>
      <c r="C609">
        <v>2572</v>
      </c>
      <c r="D609">
        <v>17</v>
      </c>
      <c r="E609" t="s">
        <v>24</v>
      </c>
      <c r="F609" t="s">
        <v>25</v>
      </c>
      <c r="G609" t="s">
        <v>38</v>
      </c>
      <c r="H609" s="1">
        <v>44408</v>
      </c>
      <c r="I609" t="s">
        <v>412</v>
      </c>
      <c r="J609" t="s">
        <v>59</v>
      </c>
      <c r="K609" t="s">
        <v>60</v>
      </c>
      <c r="L609" s="3">
        <f>IF(Sales_Table[[#This Row],[Revenue]]=0,0,Sales_Table[[#This Row],[Revenue]]/Sales_Table[[#This Row],[Profit]])</f>
        <v>3.7371695178849142</v>
      </c>
    </row>
    <row r="610" spans="1:12" x14ac:dyDescent="0.5">
      <c r="A610" t="s">
        <v>634</v>
      </c>
      <c r="B610">
        <v>5343</v>
      </c>
      <c r="C610">
        <v>655</v>
      </c>
      <c r="D610">
        <v>1</v>
      </c>
      <c r="E610" t="s">
        <v>36</v>
      </c>
      <c r="F610" t="s">
        <v>40</v>
      </c>
      <c r="G610" t="s">
        <v>32</v>
      </c>
      <c r="H610" s="1">
        <v>45395</v>
      </c>
      <c r="I610" t="s">
        <v>635</v>
      </c>
      <c r="J610" t="s">
        <v>34</v>
      </c>
      <c r="K610" t="s">
        <v>62</v>
      </c>
      <c r="L610" s="3">
        <f>IF(Sales_Table[[#This Row],[Revenue]]=0,0,Sales_Table[[#This Row],[Revenue]]/Sales_Table[[#This Row],[Profit]])</f>
        <v>8.1572519083969457</v>
      </c>
    </row>
    <row r="611" spans="1:12" x14ac:dyDescent="0.5">
      <c r="A611" t="s">
        <v>636</v>
      </c>
      <c r="B611">
        <v>6956</v>
      </c>
      <c r="C611">
        <v>318</v>
      </c>
      <c r="D611">
        <v>20</v>
      </c>
      <c r="E611" t="s">
        <v>24</v>
      </c>
      <c r="F611" t="s">
        <v>46</v>
      </c>
      <c r="G611" t="s">
        <v>26</v>
      </c>
      <c r="H611" s="1">
        <v>44670</v>
      </c>
      <c r="I611" t="s">
        <v>637</v>
      </c>
      <c r="J611" t="s">
        <v>17</v>
      </c>
      <c r="K611" t="s">
        <v>51</v>
      </c>
      <c r="L611" s="3">
        <f>IF(Sales_Table[[#This Row],[Revenue]]=0,0,Sales_Table[[#This Row],[Revenue]]/Sales_Table[[#This Row],[Profit]])</f>
        <v>21.874213836477988</v>
      </c>
    </row>
    <row r="612" spans="1:12" x14ac:dyDescent="0.5">
      <c r="A612" t="s">
        <v>638</v>
      </c>
      <c r="B612">
        <v>5306</v>
      </c>
      <c r="C612">
        <v>2405</v>
      </c>
      <c r="D612">
        <v>17</v>
      </c>
      <c r="E612" t="s">
        <v>36</v>
      </c>
      <c r="F612" t="s">
        <v>37</v>
      </c>
      <c r="G612" t="s">
        <v>32</v>
      </c>
      <c r="H612" s="1">
        <v>45374</v>
      </c>
      <c r="I612" t="s">
        <v>639</v>
      </c>
      <c r="J612" t="s">
        <v>20</v>
      </c>
      <c r="K612" t="s">
        <v>21</v>
      </c>
      <c r="L612" s="3">
        <f>IF(Sales_Table[[#This Row],[Revenue]]=0,0,Sales_Table[[#This Row],[Revenue]]/Sales_Table[[#This Row],[Profit]])</f>
        <v>2.2062370062370062</v>
      </c>
    </row>
    <row r="613" spans="1:12" x14ac:dyDescent="0.5">
      <c r="A613" t="s">
        <v>640</v>
      </c>
      <c r="B613">
        <v>8982</v>
      </c>
      <c r="C613">
        <v>448</v>
      </c>
      <c r="D613">
        <v>17</v>
      </c>
      <c r="E613" t="s">
        <v>36</v>
      </c>
      <c r="F613" t="s">
        <v>48</v>
      </c>
      <c r="G613" t="s">
        <v>12</v>
      </c>
      <c r="H613" s="1">
        <v>44323</v>
      </c>
      <c r="I613" t="s">
        <v>641</v>
      </c>
      <c r="J613" t="s">
        <v>20</v>
      </c>
      <c r="K613" t="s">
        <v>42</v>
      </c>
      <c r="L613" s="3">
        <f>IF(Sales_Table[[#This Row],[Revenue]]=0,0,Sales_Table[[#This Row],[Revenue]]/Sales_Table[[#This Row],[Profit]])</f>
        <v>20.049107142857142</v>
      </c>
    </row>
    <row r="614" spans="1:12" x14ac:dyDescent="0.5">
      <c r="A614" t="s">
        <v>640</v>
      </c>
      <c r="B614">
        <v>4826</v>
      </c>
      <c r="C614">
        <v>562</v>
      </c>
      <c r="D614">
        <v>5</v>
      </c>
      <c r="E614" t="s">
        <v>24</v>
      </c>
      <c r="F614" t="s">
        <v>52</v>
      </c>
      <c r="G614" t="s">
        <v>26</v>
      </c>
      <c r="H614" s="1">
        <v>44323</v>
      </c>
      <c r="I614" t="s">
        <v>641</v>
      </c>
      <c r="J614" t="s">
        <v>20</v>
      </c>
      <c r="K614" t="s">
        <v>42</v>
      </c>
      <c r="L614" s="3">
        <f>IF(Sales_Table[[#This Row],[Revenue]]=0,0,Sales_Table[[#This Row],[Revenue]]/Sales_Table[[#This Row],[Profit]])</f>
        <v>8.587188612099645</v>
      </c>
    </row>
    <row r="615" spans="1:12" x14ac:dyDescent="0.5">
      <c r="A615" t="s">
        <v>642</v>
      </c>
      <c r="B615">
        <v>972</v>
      </c>
      <c r="C615">
        <v>106</v>
      </c>
      <c r="D615">
        <v>15</v>
      </c>
      <c r="E615" t="s">
        <v>24</v>
      </c>
      <c r="F615" t="s">
        <v>25</v>
      </c>
      <c r="G615" t="s">
        <v>32</v>
      </c>
      <c r="H615" s="1">
        <v>44687</v>
      </c>
      <c r="I615" t="s">
        <v>643</v>
      </c>
      <c r="J615" t="s">
        <v>79</v>
      </c>
      <c r="K615" t="s">
        <v>86</v>
      </c>
      <c r="L615" s="3">
        <f>IF(Sales_Table[[#This Row],[Revenue]]=0,0,Sales_Table[[#This Row],[Revenue]]/Sales_Table[[#This Row],[Profit]])</f>
        <v>9.1698113207547163</v>
      </c>
    </row>
    <row r="616" spans="1:12" x14ac:dyDescent="0.5">
      <c r="A616" t="s">
        <v>644</v>
      </c>
      <c r="B616">
        <v>3665</v>
      </c>
      <c r="C616">
        <v>802</v>
      </c>
      <c r="D616">
        <v>4</v>
      </c>
      <c r="E616" t="s">
        <v>24</v>
      </c>
      <c r="F616" t="s">
        <v>46</v>
      </c>
      <c r="G616" t="s">
        <v>38</v>
      </c>
      <c r="H616" s="1">
        <v>44417</v>
      </c>
      <c r="I616" t="s">
        <v>645</v>
      </c>
      <c r="J616" t="s">
        <v>14</v>
      </c>
      <c r="K616" t="s">
        <v>15</v>
      </c>
      <c r="L616" s="3">
        <f>IF(Sales_Table[[#This Row],[Revenue]]=0,0,Sales_Table[[#This Row],[Revenue]]/Sales_Table[[#This Row],[Profit]])</f>
        <v>4.5698254364089772</v>
      </c>
    </row>
    <row r="617" spans="1:12" x14ac:dyDescent="0.5">
      <c r="A617" t="s">
        <v>644</v>
      </c>
      <c r="B617">
        <v>3665</v>
      </c>
      <c r="C617">
        <v>802</v>
      </c>
      <c r="D617">
        <v>4</v>
      </c>
      <c r="E617" t="s">
        <v>24</v>
      </c>
      <c r="F617" t="s">
        <v>46</v>
      </c>
      <c r="G617" t="s">
        <v>38</v>
      </c>
      <c r="H617" s="1">
        <v>45697</v>
      </c>
      <c r="I617" t="s">
        <v>646</v>
      </c>
      <c r="J617" t="s">
        <v>14</v>
      </c>
      <c r="K617" t="s">
        <v>118</v>
      </c>
      <c r="L617" s="3">
        <f>IF(Sales_Table[[#This Row],[Revenue]]=0,0,Sales_Table[[#This Row],[Revenue]]/Sales_Table[[#This Row],[Profit]])</f>
        <v>4.5698254364089772</v>
      </c>
    </row>
    <row r="618" spans="1:12" x14ac:dyDescent="0.5">
      <c r="A618" t="s">
        <v>647</v>
      </c>
      <c r="B618">
        <v>9808</v>
      </c>
      <c r="C618">
        <v>2117</v>
      </c>
      <c r="D618">
        <v>2</v>
      </c>
      <c r="E618" t="s">
        <v>24</v>
      </c>
      <c r="F618" t="s">
        <v>25</v>
      </c>
      <c r="G618" t="s">
        <v>12</v>
      </c>
      <c r="H618" s="1">
        <v>45405</v>
      </c>
      <c r="I618" t="s">
        <v>648</v>
      </c>
      <c r="J618" t="s">
        <v>34</v>
      </c>
      <c r="K618" t="s">
        <v>35</v>
      </c>
      <c r="L618" s="3">
        <f>IF(Sales_Table[[#This Row],[Revenue]]=0,0,Sales_Table[[#This Row],[Revenue]]/Sales_Table[[#This Row],[Profit]])</f>
        <v>4.6329711856400566</v>
      </c>
    </row>
    <row r="619" spans="1:12" x14ac:dyDescent="0.5">
      <c r="A619" t="s">
        <v>649</v>
      </c>
      <c r="B619">
        <v>1133</v>
      </c>
      <c r="C619">
        <v>73</v>
      </c>
      <c r="D619">
        <v>17</v>
      </c>
      <c r="E619" t="s">
        <v>36</v>
      </c>
      <c r="F619" t="s">
        <v>40</v>
      </c>
      <c r="G619" t="s">
        <v>12</v>
      </c>
      <c r="H619" s="1">
        <v>44980</v>
      </c>
      <c r="I619" t="s">
        <v>650</v>
      </c>
      <c r="J619" t="s">
        <v>79</v>
      </c>
      <c r="K619" t="s">
        <v>94</v>
      </c>
      <c r="L619" s="3">
        <f>IF(Sales_Table[[#This Row],[Revenue]]=0,0,Sales_Table[[#This Row],[Revenue]]/Sales_Table[[#This Row],[Profit]])</f>
        <v>15.520547945205479</v>
      </c>
    </row>
    <row r="620" spans="1:12" x14ac:dyDescent="0.5">
      <c r="A620" t="s">
        <v>649</v>
      </c>
      <c r="B620">
        <v>1133</v>
      </c>
      <c r="C620">
        <v>73</v>
      </c>
      <c r="D620">
        <v>17</v>
      </c>
      <c r="E620" t="s">
        <v>36</v>
      </c>
      <c r="F620" t="s">
        <v>40</v>
      </c>
      <c r="G620" t="s">
        <v>12</v>
      </c>
      <c r="H620" s="1">
        <v>45449</v>
      </c>
      <c r="I620" t="s">
        <v>651</v>
      </c>
      <c r="J620" t="s">
        <v>34</v>
      </c>
      <c r="K620" t="s">
        <v>62</v>
      </c>
      <c r="L620" s="3">
        <f>IF(Sales_Table[[#This Row],[Revenue]]=0,0,Sales_Table[[#This Row],[Revenue]]/Sales_Table[[#This Row],[Profit]])</f>
        <v>15.520547945205479</v>
      </c>
    </row>
    <row r="621" spans="1:12" x14ac:dyDescent="0.5">
      <c r="A621" t="s">
        <v>649</v>
      </c>
      <c r="B621">
        <v>6248</v>
      </c>
      <c r="C621">
        <v>1168</v>
      </c>
      <c r="D621">
        <v>19</v>
      </c>
      <c r="E621" t="s">
        <v>36</v>
      </c>
      <c r="F621" t="s">
        <v>87</v>
      </c>
      <c r="G621" t="s">
        <v>53</v>
      </c>
      <c r="H621" s="1">
        <v>44980</v>
      </c>
      <c r="I621" t="s">
        <v>650</v>
      </c>
      <c r="J621" t="s">
        <v>79</v>
      </c>
      <c r="K621" t="s">
        <v>94</v>
      </c>
      <c r="L621" s="3">
        <f>IF(Sales_Table[[#This Row],[Revenue]]=0,0,Sales_Table[[#This Row],[Revenue]]/Sales_Table[[#This Row],[Profit]])</f>
        <v>5.3493150684931505</v>
      </c>
    </row>
    <row r="622" spans="1:12" x14ac:dyDescent="0.5">
      <c r="A622" t="s">
        <v>649</v>
      </c>
      <c r="B622">
        <v>6248</v>
      </c>
      <c r="C622">
        <v>1168</v>
      </c>
      <c r="D622">
        <v>19</v>
      </c>
      <c r="E622" t="s">
        <v>36</v>
      </c>
      <c r="F622" t="s">
        <v>87</v>
      </c>
      <c r="G622" t="s">
        <v>53</v>
      </c>
      <c r="H622" s="1">
        <v>45449</v>
      </c>
      <c r="I622" t="s">
        <v>651</v>
      </c>
      <c r="J622" t="s">
        <v>34</v>
      </c>
      <c r="K622" t="s">
        <v>62</v>
      </c>
      <c r="L622" s="3">
        <f>IF(Sales_Table[[#This Row],[Revenue]]=0,0,Sales_Table[[#This Row],[Revenue]]/Sales_Table[[#This Row],[Profit]])</f>
        <v>5.3493150684931505</v>
      </c>
    </row>
    <row r="623" spans="1:12" x14ac:dyDescent="0.5">
      <c r="A623" t="s">
        <v>652</v>
      </c>
      <c r="B623">
        <v>5666</v>
      </c>
      <c r="C623">
        <v>2733</v>
      </c>
      <c r="D623">
        <v>17</v>
      </c>
      <c r="E623" t="s">
        <v>10</v>
      </c>
      <c r="F623" t="s">
        <v>11</v>
      </c>
      <c r="G623" t="s">
        <v>38</v>
      </c>
      <c r="H623" s="1">
        <v>45684</v>
      </c>
      <c r="I623" t="s">
        <v>653</v>
      </c>
      <c r="J623" t="s">
        <v>14</v>
      </c>
      <c r="K623" t="s">
        <v>118</v>
      </c>
      <c r="L623" s="3">
        <f>IF(Sales_Table[[#This Row],[Revenue]]=0,0,Sales_Table[[#This Row],[Revenue]]/Sales_Table[[#This Row],[Profit]])</f>
        <v>2.0731796560556166</v>
      </c>
    </row>
    <row r="624" spans="1:12" x14ac:dyDescent="0.5">
      <c r="A624" t="s">
        <v>654</v>
      </c>
      <c r="B624">
        <v>4171</v>
      </c>
      <c r="C624">
        <v>1450</v>
      </c>
      <c r="D624">
        <v>18</v>
      </c>
      <c r="E624" t="s">
        <v>24</v>
      </c>
      <c r="F624" t="s">
        <v>46</v>
      </c>
      <c r="G624" t="s">
        <v>53</v>
      </c>
      <c r="H624" s="1">
        <v>45023</v>
      </c>
      <c r="I624" t="s">
        <v>655</v>
      </c>
      <c r="J624" t="s">
        <v>59</v>
      </c>
      <c r="K624" t="s">
        <v>60</v>
      </c>
      <c r="L624" s="3">
        <f>IF(Sales_Table[[#This Row],[Revenue]]=0,0,Sales_Table[[#This Row],[Revenue]]/Sales_Table[[#This Row],[Profit]])</f>
        <v>2.876551724137931</v>
      </c>
    </row>
    <row r="625" spans="1:12" x14ac:dyDescent="0.5">
      <c r="A625" t="s">
        <v>656</v>
      </c>
      <c r="B625">
        <v>6236</v>
      </c>
      <c r="C625">
        <v>2839</v>
      </c>
      <c r="D625">
        <v>7</v>
      </c>
      <c r="E625" t="s">
        <v>10</v>
      </c>
      <c r="F625" t="s">
        <v>22</v>
      </c>
      <c r="G625" t="s">
        <v>38</v>
      </c>
      <c r="H625" s="1">
        <v>44581</v>
      </c>
      <c r="I625" t="s">
        <v>657</v>
      </c>
      <c r="J625" t="s">
        <v>17</v>
      </c>
      <c r="K625" t="s">
        <v>51</v>
      </c>
      <c r="L625" s="3">
        <f>IF(Sales_Table[[#This Row],[Revenue]]=0,0,Sales_Table[[#This Row],[Revenue]]/Sales_Table[[#This Row],[Profit]])</f>
        <v>2.1965480803099684</v>
      </c>
    </row>
    <row r="626" spans="1:12" x14ac:dyDescent="0.5">
      <c r="A626" t="s">
        <v>656</v>
      </c>
      <c r="B626">
        <v>6236</v>
      </c>
      <c r="C626">
        <v>2839</v>
      </c>
      <c r="D626">
        <v>7</v>
      </c>
      <c r="E626" t="s">
        <v>10</v>
      </c>
      <c r="F626" t="s">
        <v>22</v>
      </c>
      <c r="G626" t="s">
        <v>38</v>
      </c>
      <c r="H626" s="1">
        <v>44691</v>
      </c>
      <c r="I626" t="s">
        <v>658</v>
      </c>
      <c r="J626" t="s">
        <v>14</v>
      </c>
      <c r="K626" t="s">
        <v>28</v>
      </c>
      <c r="L626" s="3">
        <f>IF(Sales_Table[[#This Row],[Revenue]]=0,0,Sales_Table[[#This Row],[Revenue]]/Sales_Table[[#This Row],[Profit]])</f>
        <v>2.1965480803099684</v>
      </c>
    </row>
    <row r="627" spans="1:12" x14ac:dyDescent="0.5">
      <c r="A627" t="s">
        <v>659</v>
      </c>
      <c r="B627">
        <v>5410</v>
      </c>
      <c r="C627">
        <v>2456</v>
      </c>
      <c r="D627">
        <v>8</v>
      </c>
      <c r="E627" t="s">
        <v>36</v>
      </c>
      <c r="F627" t="s">
        <v>40</v>
      </c>
      <c r="G627" t="s">
        <v>38</v>
      </c>
      <c r="H627" s="1">
        <v>45441</v>
      </c>
      <c r="I627" t="s">
        <v>660</v>
      </c>
      <c r="J627" t="s">
        <v>34</v>
      </c>
      <c r="K627" t="s">
        <v>35</v>
      </c>
      <c r="L627" s="3">
        <f>IF(Sales_Table[[#This Row],[Revenue]]=0,0,Sales_Table[[#This Row],[Revenue]]/Sales_Table[[#This Row],[Profit]])</f>
        <v>2.202768729641694</v>
      </c>
    </row>
    <row r="628" spans="1:12" x14ac:dyDescent="0.5">
      <c r="A628" t="s">
        <v>659</v>
      </c>
      <c r="B628">
        <v>5410</v>
      </c>
      <c r="C628">
        <v>2456</v>
      </c>
      <c r="D628">
        <v>8</v>
      </c>
      <c r="E628" t="s">
        <v>36</v>
      </c>
      <c r="F628" t="s">
        <v>40</v>
      </c>
      <c r="G628" t="s">
        <v>38</v>
      </c>
      <c r="H628" s="1">
        <v>44565</v>
      </c>
      <c r="I628" t="s">
        <v>661</v>
      </c>
      <c r="J628" t="s">
        <v>14</v>
      </c>
      <c r="K628" t="s">
        <v>118</v>
      </c>
      <c r="L628" s="3">
        <f>IF(Sales_Table[[#This Row],[Revenue]]=0,0,Sales_Table[[#This Row],[Revenue]]/Sales_Table[[#This Row],[Profit]])</f>
        <v>2.202768729641694</v>
      </c>
    </row>
    <row r="629" spans="1:12" x14ac:dyDescent="0.5">
      <c r="A629" t="s">
        <v>662</v>
      </c>
      <c r="B629">
        <v>3024</v>
      </c>
      <c r="C629">
        <v>1353</v>
      </c>
      <c r="D629">
        <v>1</v>
      </c>
      <c r="E629" t="s">
        <v>36</v>
      </c>
      <c r="F629" t="s">
        <v>48</v>
      </c>
      <c r="G629" t="s">
        <v>38</v>
      </c>
      <c r="H629" s="1">
        <v>45414</v>
      </c>
      <c r="I629" t="s">
        <v>663</v>
      </c>
      <c r="J629" t="s">
        <v>34</v>
      </c>
      <c r="K629" t="s">
        <v>35</v>
      </c>
      <c r="L629" s="3">
        <f>IF(Sales_Table[[#This Row],[Revenue]]=0,0,Sales_Table[[#This Row],[Revenue]]/Sales_Table[[#This Row],[Profit]])</f>
        <v>2.2350332594235032</v>
      </c>
    </row>
    <row r="630" spans="1:12" x14ac:dyDescent="0.5">
      <c r="A630" t="s">
        <v>662</v>
      </c>
      <c r="B630">
        <v>3024</v>
      </c>
      <c r="C630">
        <v>1353</v>
      </c>
      <c r="D630">
        <v>1</v>
      </c>
      <c r="E630" t="s">
        <v>36</v>
      </c>
      <c r="F630" t="s">
        <v>48</v>
      </c>
      <c r="G630" t="s">
        <v>38</v>
      </c>
      <c r="H630" s="1">
        <v>44558</v>
      </c>
      <c r="I630" t="s">
        <v>664</v>
      </c>
      <c r="J630" t="s">
        <v>79</v>
      </c>
      <c r="K630" t="s">
        <v>80</v>
      </c>
      <c r="L630" s="3">
        <f>IF(Sales_Table[[#This Row],[Revenue]]=0,0,Sales_Table[[#This Row],[Revenue]]/Sales_Table[[#This Row],[Profit]])</f>
        <v>2.2350332594235032</v>
      </c>
    </row>
    <row r="631" spans="1:12" x14ac:dyDescent="0.5">
      <c r="A631" t="s">
        <v>665</v>
      </c>
      <c r="B631">
        <v>7434</v>
      </c>
      <c r="C631">
        <v>2851</v>
      </c>
      <c r="D631">
        <v>5</v>
      </c>
      <c r="E631" t="s">
        <v>24</v>
      </c>
      <c r="F631" t="s">
        <v>46</v>
      </c>
      <c r="G631" t="s">
        <v>12</v>
      </c>
      <c r="H631" s="1">
        <v>44907</v>
      </c>
      <c r="I631" t="s">
        <v>666</v>
      </c>
      <c r="J631" t="s">
        <v>17</v>
      </c>
      <c r="K631" t="s">
        <v>51</v>
      </c>
      <c r="L631" s="3">
        <f>IF(Sales_Table[[#This Row],[Revenue]]=0,0,Sales_Table[[#This Row],[Revenue]]/Sales_Table[[#This Row],[Profit]])</f>
        <v>2.6075061381971238</v>
      </c>
    </row>
    <row r="632" spans="1:12" x14ac:dyDescent="0.5">
      <c r="A632" t="s">
        <v>667</v>
      </c>
      <c r="B632">
        <v>7213</v>
      </c>
      <c r="C632">
        <v>508</v>
      </c>
      <c r="D632">
        <v>19</v>
      </c>
      <c r="E632" t="s">
        <v>10</v>
      </c>
      <c r="F632" t="s">
        <v>11</v>
      </c>
      <c r="G632" t="s">
        <v>26</v>
      </c>
      <c r="H632" s="1">
        <v>45155</v>
      </c>
      <c r="I632" t="s">
        <v>668</v>
      </c>
      <c r="J632" t="s">
        <v>59</v>
      </c>
      <c r="K632" t="s">
        <v>60</v>
      </c>
      <c r="L632" s="3">
        <f>IF(Sales_Table[[#This Row],[Revenue]]=0,0,Sales_Table[[#This Row],[Revenue]]/Sales_Table[[#This Row],[Profit]])</f>
        <v>14.198818897637794</v>
      </c>
    </row>
    <row r="633" spans="1:12" x14ac:dyDescent="0.5">
      <c r="A633" t="s">
        <v>667</v>
      </c>
      <c r="B633">
        <v>7213</v>
      </c>
      <c r="C633">
        <v>508</v>
      </c>
      <c r="D633">
        <v>19</v>
      </c>
      <c r="E633" t="s">
        <v>10</v>
      </c>
      <c r="F633" t="s">
        <v>11</v>
      </c>
      <c r="G633" t="s">
        <v>26</v>
      </c>
      <c r="H633" s="1">
        <v>44529</v>
      </c>
      <c r="I633" t="s">
        <v>669</v>
      </c>
      <c r="J633" t="s">
        <v>79</v>
      </c>
      <c r="K633" t="s">
        <v>86</v>
      </c>
      <c r="L633" s="3">
        <f>IF(Sales_Table[[#This Row],[Revenue]]=0,0,Sales_Table[[#This Row],[Revenue]]/Sales_Table[[#This Row],[Profit]])</f>
        <v>14.198818897637794</v>
      </c>
    </row>
    <row r="634" spans="1:12" x14ac:dyDescent="0.5">
      <c r="A634" t="s">
        <v>667</v>
      </c>
      <c r="B634">
        <v>3176</v>
      </c>
      <c r="C634">
        <v>586</v>
      </c>
      <c r="D634">
        <v>9</v>
      </c>
      <c r="E634" t="s">
        <v>36</v>
      </c>
      <c r="F634" t="s">
        <v>37</v>
      </c>
      <c r="G634" t="s">
        <v>32</v>
      </c>
      <c r="H634" s="1">
        <v>45155</v>
      </c>
      <c r="I634" t="s">
        <v>668</v>
      </c>
      <c r="J634" t="s">
        <v>59</v>
      </c>
      <c r="K634" t="s">
        <v>60</v>
      </c>
      <c r="L634" s="3">
        <f>IF(Sales_Table[[#This Row],[Revenue]]=0,0,Sales_Table[[#This Row],[Revenue]]/Sales_Table[[#This Row],[Profit]])</f>
        <v>5.4197952218430032</v>
      </c>
    </row>
    <row r="635" spans="1:12" x14ac:dyDescent="0.5">
      <c r="A635" t="s">
        <v>667</v>
      </c>
      <c r="B635">
        <v>3176</v>
      </c>
      <c r="C635">
        <v>586</v>
      </c>
      <c r="D635">
        <v>9</v>
      </c>
      <c r="E635" t="s">
        <v>36</v>
      </c>
      <c r="F635" t="s">
        <v>37</v>
      </c>
      <c r="G635" t="s">
        <v>32</v>
      </c>
      <c r="H635" s="1">
        <v>44529</v>
      </c>
      <c r="I635" t="s">
        <v>669</v>
      </c>
      <c r="J635" t="s">
        <v>79</v>
      </c>
      <c r="K635" t="s">
        <v>86</v>
      </c>
      <c r="L635" s="3">
        <f>IF(Sales_Table[[#This Row],[Revenue]]=0,0,Sales_Table[[#This Row],[Revenue]]/Sales_Table[[#This Row],[Profit]])</f>
        <v>5.4197952218430032</v>
      </c>
    </row>
    <row r="636" spans="1:12" x14ac:dyDescent="0.5">
      <c r="A636" t="s">
        <v>670</v>
      </c>
      <c r="B636">
        <v>9144</v>
      </c>
      <c r="C636">
        <v>2220</v>
      </c>
      <c r="D636">
        <v>18</v>
      </c>
      <c r="E636" t="s">
        <v>24</v>
      </c>
      <c r="F636" t="s">
        <v>64</v>
      </c>
      <c r="G636" t="s">
        <v>38</v>
      </c>
      <c r="H636" s="1">
        <v>44360</v>
      </c>
      <c r="I636" t="s">
        <v>671</v>
      </c>
      <c r="J636" t="s">
        <v>14</v>
      </c>
      <c r="K636" t="s">
        <v>15</v>
      </c>
      <c r="L636" s="3">
        <f>IF(Sales_Table[[#This Row],[Revenue]]=0,0,Sales_Table[[#This Row],[Revenue]]/Sales_Table[[#This Row],[Profit]])</f>
        <v>4.1189189189189186</v>
      </c>
    </row>
    <row r="637" spans="1:12" x14ac:dyDescent="0.5">
      <c r="A637" t="s">
        <v>672</v>
      </c>
      <c r="B637">
        <v>4146</v>
      </c>
      <c r="C637">
        <v>865</v>
      </c>
      <c r="D637">
        <v>19</v>
      </c>
      <c r="E637" t="s">
        <v>36</v>
      </c>
      <c r="F637" t="s">
        <v>37</v>
      </c>
      <c r="G637" t="s">
        <v>32</v>
      </c>
      <c r="H637" s="1">
        <v>44746</v>
      </c>
      <c r="I637" t="s">
        <v>673</v>
      </c>
      <c r="J637" t="s">
        <v>59</v>
      </c>
      <c r="K637" t="s">
        <v>108</v>
      </c>
      <c r="L637" s="3">
        <f>IF(Sales_Table[[#This Row],[Revenue]]=0,0,Sales_Table[[#This Row],[Revenue]]/Sales_Table[[#This Row],[Profit]])</f>
        <v>4.7930635838150293</v>
      </c>
    </row>
    <row r="638" spans="1:12" x14ac:dyDescent="0.5">
      <c r="A638" t="s">
        <v>672</v>
      </c>
      <c r="B638">
        <v>3793</v>
      </c>
      <c r="C638">
        <v>875</v>
      </c>
      <c r="D638">
        <v>7</v>
      </c>
      <c r="E638" t="s">
        <v>36</v>
      </c>
      <c r="F638" t="s">
        <v>37</v>
      </c>
      <c r="G638" t="s">
        <v>32</v>
      </c>
      <c r="H638" s="1">
        <v>44746</v>
      </c>
      <c r="I638" t="s">
        <v>673</v>
      </c>
      <c r="J638" t="s">
        <v>59</v>
      </c>
      <c r="K638" t="s">
        <v>108</v>
      </c>
      <c r="L638" s="3">
        <f>IF(Sales_Table[[#This Row],[Revenue]]=0,0,Sales_Table[[#This Row],[Revenue]]/Sales_Table[[#This Row],[Profit]])</f>
        <v>4.3348571428571425</v>
      </c>
    </row>
    <row r="639" spans="1:12" x14ac:dyDescent="0.5">
      <c r="A639" t="s">
        <v>674</v>
      </c>
      <c r="B639">
        <v>7169</v>
      </c>
      <c r="C639">
        <v>2385</v>
      </c>
      <c r="D639">
        <v>11</v>
      </c>
      <c r="E639" t="s">
        <v>36</v>
      </c>
      <c r="F639" t="s">
        <v>48</v>
      </c>
      <c r="G639" t="s">
        <v>53</v>
      </c>
      <c r="H639" s="1">
        <v>44374</v>
      </c>
      <c r="I639" t="s">
        <v>675</v>
      </c>
      <c r="J639" t="s">
        <v>34</v>
      </c>
      <c r="K639" t="s">
        <v>35</v>
      </c>
      <c r="L639" s="3">
        <f>IF(Sales_Table[[#This Row],[Revenue]]=0,0,Sales_Table[[#This Row],[Revenue]]/Sales_Table[[#This Row],[Profit]])</f>
        <v>3.0058700209643607</v>
      </c>
    </row>
    <row r="640" spans="1:12" x14ac:dyDescent="0.5">
      <c r="A640" t="s">
        <v>674</v>
      </c>
      <c r="B640">
        <v>4046</v>
      </c>
      <c r="C640">
        <v>417</v>
      </c>
      <c r="D640">
        <v>18</v>
      </c>
      <c r="E640" t="s">
        <v>36</v>
      </c>
      <c r="F640" t="s">
        <v>40</v>
      </c>
      <c r="G640" t="s">
        <v>38</v>
      </c>
      <c r="H640" s="1">
        <v>44374</v>
      </c>
      <c r="I640" t="s">
        <v>675</v>
      </c>
      <c r="J640" t="s">
        <v>34</v>
      </c>
      <c r="K640" t="s">
        <v>35</v>
      </c>
      <c r="L640" s="3">
        <f>IF(Sales_Table[[#This Row],[Revenue]]=0,0,Sales_Table[[#This Row],[Revenue]]/Sales_Table[[#This Row],[Profit]])</f>
        <v>9.7026378896882495</v>
      </c>
    </row>
    <row r="641" spans="1:12" x14ac:dyDescent="0.5">
      <c r="A641" t="s">
        <v>676</v>
      </c>
      <c r="B641">
        <v>4164</v>
      </c>
      <c r="C641">
        <v>905</v>
      </c>
      <c r="D641">
        <v>11</v>
      </c>
      <c r="E641" t="s">
        <v>10</v>
      </c>
      <c r="F641" t="s">
        <v>67</v>
      </c>
      <c r="G641" t="s">
        <v>53</v>
      </c>
      <c r="H641" s="1">
        <v>45264</v>
      </c>
      <c r="I641" t="s">
        <v>677</v>
      </c>
      <c r="J641" t="s">
        <v>34</v>
      </c>
      <c r="K641" t="s">
        <v>62</v>
      </c>
      <c r="L641" s="3">
        <f>IF(Sales_Table[[#This Row],[Revenue]]=0,0,Sales_Table[[#This Row],[Revenue]]/Sales_Table[[#This Row],[Profit]])</f>
        <v>4.6011049723756905</v>
      </c>
    </row>
    <row r="642" spans="1:12" x14ac:dyDescent="0.5">
      <c r="A642" t="s">
        <v>676</v>
      </c>
      <c r="B642">
        <v>5389</v>
      </c>
      <c r="C642">
        <v>2196</v>
      </c>
      <c r="D642">
        <v>5</v>
      </c>
      <c r="E642" t="s">
        <v>36</v>
      </c>
      <c r="F642" t="s">
        <v>37</v>
      </c>
      <c r="G642" t="s">
        <v>12</v>
      </c>
      <c r="H642" s="1">
        <v>45264</v>
      </c>
      <c r="I642" t="s">
        <v>677</v>
      </c>
      <c r="J642" t="s">
        <v>34</v>
      </c>
      <c r="K642" t="s">
        <v>62</v>
      </c>
      <c r="L642" s="3">
        <f>IF(Sales_Table[[#This Row],[Revenue]]=0,0,Sales_Table[[#This Row],[Revenue]]/Sales_Table[[#This Row],[Profit]])</f>
        <v>2.454007285974499</v>
      </c>
    </row>
    <row r="643" spans="1:12" x14ac:dyDescent="0.5">
      <c r="A643" t="s">
        <v>678</v>
      </c>
      <c r="B643">
        <v>5448</v>
      </c>
      <c r="C643">
        <v>2204</v>
      </c>
      <c r="D643">
        <v>5</v>
      </c>
      <c r="E643" t="s">
        <v>36</v>
      </c>
      <c r="F643" t="s">
        <v>48</v>
      </c>
      <c r="G643" t="s">
        <v>53</v>
      </c>
      <c r="H643" s="1">
        <v>44782</v>
      </c>
      <c r="I643" t="s">
        <v>679</v>
      </c>
      <c r="J643" t="s">
        <v>20</v>
      </c>
      <c r="K643" t="s">
        <v>42</v>
      </c>
      <c r="L643" s="3">
        <f>IF(Sales_Table[[#This Row],[Revenue]]=0,0,Sales_Table[[#This Row],[Revenue]]/Sales_Table[[#This Row],[Profit]])</f>
        <v>2.4718693284936477</v>
      </c>
    </row>
    <row r="644" spans="1:12" x14ac:dyDescent="0.5">
      <c r="A644" t="s">
        <v>680</v>
      </c>
      <c r="B644">
        <v>4115</v>
      </c>
      <c r="C644">
        <v>1285</v>
      </c>
      <c r="D644">
        <v>1</v>
      </c>
      <c r="E644" t="s">
        <v>36</v>
      </c>
      <c r="F644" t="s">
        <v>48</v>
      </c>
      <c r="G644" t="s">
        <v>12</v>
      </c>
      <c r="H644" s="1">
        <v>43929</v>
      </c>
      <c r="I644" t="s">
        <v>681</v>
      </c>
      <c r="J644" t="s">
        <v>14</v>
      </c>
      <c r="K644" t="s">
        <v>28</v>
      </c>
      <c r="L644" s="3">
        <f>IF(Sales_Table[[#This Row],[Revenue]]=0,0,Sales_Table[[#This Row],[Revenue]]/Sales_Table[[#This Row],[Profit]])</f>
        <v>3.2023346303501947</v>
      </c>
    </row>
    <row r="645" spans="1:12" x14ac:dyDescent="0.5">
      <c r="A645" t="s">
        <v>680</v>
      </c>
      <c r="B645">
        <v>4761</v>
      </c>
      <c r="C645">
        <v>2231</v>
      </c>
      <c r="D645">
        <v>12</v>
      </c>
      <c r="E645" t="s">
        <v>36</v>
      </c>
      <c r="F645" t="s">
        <v>37</v>
      </c>
      <c r="G645" t="s">
        <v>12</v>
      </c>
      <c r="H645" s="1">
        <v>43929</v>
      </c>
      <c r="I645" t="s">
        <v>681</v>
      </c>
      <c r="J645" t="s">
        <v>14</v>
      </c>
      <c r="K645" t="s">
        <v>28</v>
      </c>
      <c r="L645" s="3">
        <f>IF(Sales_Table[[#This Row],[Revenue]]=0,0,Sales_Table[[#This Row],[Revenue]]/Sales_Table[[#This Row],[Profit]])</f>
        <v>2.134020618556701</v>
      </c>
    </row>
    <row r="646" spans="1:12" x14ac:dyDescent="0.5">
      <c r="A646" t="s">
        <v>682</v>
      </c>
      <c r="B646">
        <v>5899</v>
      </c>
      <c r="C646">
        <v>2264</v>
      </c>
      <c r="D646">
        <v>6</v>
      </c>
      <c r="E646" t="s">
        <v>24</v>
      </c>
      <c r="F646" t="s">
        <v>64</v>
      </c>
      <c r="G646" t="s">
        <v>32</v>
      </c>
      <c r="H646" s="1">
        <v>45219</v>
      </c>
      <c r="I646" t="s">
        <v>683</v>
      </c>
      <c r="J646" t="s">
        <v>20</v>
      </c>
      <c r="K646" t="s">
        <v>21</v>
      </c>
      <c r="L646" s="3">
        <f>IF(Sales_Table[[#This Row],[Revenue]]=0,0,Sales_Table[[#This Row],[Revenue]]/Sales_Table[[#This Row],[Profit]])</f>
        <v>2.6055653710247348</v>
      </c>
    </row>
    <row r="647" spans="1:12" x14ac:dyDescent="0.5">
      <c r="A647" t="s">
        <v>684</v>
      </c>
      <c r="B647">
        <v>6109</v>
      </c>
      <c r="C647">
        <v>3040</v>
      </c>
      <c r="D647">
        <v>9</v>
      </c>
      <c r="E647" t="s">
        <v>36</v>
      </c>
      <c r="F647" t="s">
        <v>40</v>
      </c>
      <c r="G647" t="s">
        <v>32</v>
      </c>
      <c r="H647" s="1">
        <v>44602</v>
      </c>
      <c r="I647" t="s">
        <v>685</v>
      </c>
      <c r="J647" t="s">
        <v>20</v>
      </c>
      <c r="K647" t="s">
        <v>21</v>
      </c>
      <c r="L647" s="3">
        <f>IF(Sales_Table[[#This Row],[Revenue]]=0,0,Sales_Table[[#This Row],[Revenue]]/Sales_Table[[#This Row],[Profit]])</f>
        <v>2.0095394736842107</v>
      </c>
    </row>
    <row r="648" spans="1:12" x14ac:dyDescent="0.5">
      <c r="A648" t="s">
        <v>684</v>
      </c>
      <c r="B648">
        <v>6109</v>
      </c>
      <c r="C648">
        <v>3040</v>
      </c>
      <c r="D648">
        <v>9</v>
      </c>
      <c r="E648" t="s">
        <v>36</v>
      </c>
      <c r="F648" t="s">
        <v>40</v>
      </c>
      <c r="G648" t="s">
        <v>32</v>
      </c>
      <c r="H648" s="1">
        <v>45204</v>
      </c>
      <c r="I648" t="s">
        <v>686</v>
      </c>
      <c r="J648" t="s">
        <v>20</v>
      </c>
      <c r="K648" t="s">
        <v>56</v>
      </c>
      <c r="L648" s="3">
        <f>IF(Sales_Table[[#This Row],[Revenue]]=0,0,Sales_Table[[#This Row],[Revenue]]/Sales_Table[[#This Row],[Profit]])</f>
        <v>2.0095394736842107</v>
      </c>
    </row>
    <row r="649" spans="1:12" x14ac:dyDescent="0.5">
      <c r="A649" t="s">
        <v>684</v>
      </c>
      <c r="B649">
        <v>4628</v>
      </c>
      <c r="C649">
        <v>1491</v>
      </c>
      <c r="D649">
        <v>17</v>
      </c>
      <c r="E649" t="s">
        <v>10</v>
      </c>
      <c r="F649" t="s">
        <v>11</v>
      </c>
      <c r="G649" t="s">
        <v>12</v>
      </c>
      <c r="H649" s="1">
        <v>44602</v>
      </c>
      <c r="I649" t="s">
        <v>685</v>
      </c>
      <c r="J649" t="s">
        <v>20</v>
      </c>
      <c r="K649" t="s">
        <v>21</v>
      </c>
      <c r="L649" s="3">
        <f>IF(Sales_Table[[#This Row],[Revenue]]=0,0,Sales_Table[[#This Row],[Revenue]]/Sales_Table[[#This Row],[Profit]])</f>
        <v>3.1039570757880619</v>
      </c>
    </row>
    <row r="650" spans="1:12" x14ac:dyDescent="0.5">
      <c r="A650" t="s">
        <v>684</v>
      </c>
      <c r="B650">
        <v>4628</v>
      </c>
      <c r="C650">
        <v>1491</v>
      </c>
      <c r="D650">
        <v>17</v>
      </c>
      <c r="E650" t="s">
        <v>10</v>
      </c>
      <c r="F650" t="s">
        <v>11</v>
      </c>
      <c r="G650" t="s">
        <v>12</v>
      </c>
      <c r="H650" s="1">
        <v>45204</v>
      </c>
      <c r="I650" t="s">
        <v>686</v>
      </c>
      <c r="J650" t="s">
        <v>20</v>
      </c>
      <c r="K650" t="s">
        <v>56</v>
      </c>
      <c r="L650" s="3">
        <f>IF(Sales_Table[[#This Row],[Revenue]]=0,0,Sales_Table[[#This Row],[Revenue]]/Sales_Table[[#This Row],[Profit]])</f>
        <v>3.1039570757880619</v>
      </c>
    </row>
    <row r="651" spans="1:12" x14ac:dyDescent="0.5">
      <c r="A651" t="s">
        <v>687</v>
      </c>
      <c r="B651">
        <v>4369</v>
      </c>
      <c r="C651">
        <v>584</v>
      </c>
      <c r="D651">
        <v>13</v>
      </c>
      <c r="E651" t="s">
        <v>24</v>
      </c>
      <c r="F651" t="s">
        <v>25</v>
      </c>
      <c r="G651" t="s">
        <v>38</v>
      </c>
      <c r="H651" s="1">
        <v>44826</v>
      </c>
      <c r="I651" t="s">
        <v>688</v>
      </c>
      <c r="J651" t="s">
        <v>17</v>
      </c>
      <c r="K651" t="s">
        <v>134</v>
      </c>
      <c r="L651" s="3">
        <f>IF(Sales_Table[[#This Row],[Revenue]]=0,0,Sales_Table[[#This Row],[Revenue]]/Sales_Table[[#This Row],[Profit]])</f>
        <v>7.4811643835616435</v>
      </c>
    </row>
    <row r="652" spans="1:12" x14ac:dyDescent="0.5">
      <c r="A652" t="s">
        <v>687</v>
      </c>
      <c r="B652">
        <v>4369</v>
      </c>
      <c r="C652">
        <v>584</v>
      </c>
      <c r="D652">
        <v>13</v>
      </c>
      <c r="E652" t="s">
        <v>24</v>
      </c>
      <c r="F652" t="s">
        <v>25</v>
      </c>
      <c r="G652" t="s">
        <v>38</v>
      </c>
      <c r="H652" s="1">
        <v>44289</v>
      </c>
      <c r="I652" t="s">
        <v>689</v>
      </c>
      <c r="J652" t="s">
        <v>59</v>
      </c>
      <c r="K652" t="s">
        <v>71</v>
      </c>
      <c r="L652" s="3">
        <f>IF(Sales_Table[[#This Row],[Revenue]]=0,0,Sales_Table[[#This Row],[Revenue]]/Sales_Table[[#This Row],[Profit]])</f>
        <v>7.4811643835616435</v>
      </c>
    </row>
    <row r="653" spans="1:12" x14ac:dyDescent="0.5">
      <c r="A653" t="s">
        <v>690</v>
      </c>
      <c r="B653">
        <v>5632</v>
      </c>
      <c r="C653">
        <v>2358</v>
      </c>
      <c r="D653">
        <v>20</v>
      </c>
      <c r="E653" t="s">
        <v>36</v>
      </c>
      <c r="F653" t="s">
        <v>48</v>
      </c>
      <c r="G653" t="s">
        <v>38</v>
      </c>
      <c r="H653" s="1">
        <v>44319</v>
      </c>
      <c r="I653" t="s">
        <v>691</v>
      </c>
      <c r="J653" t="s">
        <v>34</v>
      </c>
      <c r="K653" t="s">
        <v>35</v>
      </c>
      <c r="L653" s="3">
        <f>IF(Sales_Table[[#This Row],[Revenue]]=0,0,Sales_Table[[#This Row],[Revenue]]/Sales_Table[[#This Row],[Profit]])</f>
        <v>2.3884648006785412</v>
      </c>
    </row>
    <row r="654" spans="1:12" x14ac:dyDescent="0.5">
      <c r="A654" t="s">
        <v>690</v>
      </c>
      <c r="B654">
        <v>5632</v>
      </c>
      <c r="C654">
        <v>2358</v>
      </c>
      <c r="D654">
        <v>20</v>
      </c>
      <c r="E654" t="s">
        <v>36</v>
      </c>
      <c r="F654" t="s">
        <v>48</v>
      </c>
      <c r="G654" t="s">
        <v>38</v>
      </c>
      <c r="H654" s="1">
        <v>45333</v>
      </c>
      <c r="I654" t="s">
        <v>692</v>
      </c>
      <c r="J654" t="s">
        <v>14</v>
      </c>
      <c r="K654" t="s">
        <v>15</v>
      </c>
      <c r="L654" s="3">
        <f>IF(Sales_Table[[#This Row],[Revenue]]=0,0,Sales_Table[[#This Row],[Revenue]]/Sales_Table[[#This Row],[Profit]])</f>
        <v>2.3884648006785412</v>
      </c>
    </row>
    <row r="655" spans="1:12" x14ac:dyDescent="0.5">
      <c r="A655" t="s">
        <v>690</v>
      </c>
      <c r="B655">
        <v>5632</v>
      </c>
      <c r="C655">
        <v>2358</v>
      </c>
      <c r="D655">
        <v>20</v>
      </c>
      <c r="E655" t="s">
        <v>36</v>
      </c>
      <c r="F655" t="s">
        <v>48</v>
      </c>
      <c r="G655" t="s">
        <v>38</v>
      </c>
      <c r="H655" s="1">
        <v>45692</v>
      </c>
      <c r="I655" t="s">
        <v>693</v>
      </c>
      <c r="J655" t="s">
        <v>79</v>
      </c>
      <c r="K655" t="s">
        <v>94</v>
      </c>
      <c r="L655" s="3">
        <f>IF(Sales_Table[[#This Row],[Revenue]]=0,0,Sales_Table[[#This Row],[Revenue]]/Sales_Table[[#This Row],[Profit]])</f>
        <v>2.3884648006785412</v>
      </c>
    </row>
    <row r="656" spans="1:12" x14ac:dyDescent="0.5">
      <c r="A656" t="s">
        <v>694</v>
      </c>
      <c r="B656">
        <v>7519</v>
      </c>
      <c r="C656">
        <v>402</v>
      </c>
      <c r="D656">
        <v>14</v>
      </c>
      <c r="E656" t="s">
        <v>24</v>
      </c>
      <c r="F656" t="s">
        <v>52</v>
      </c>
      <c r="G656" t="s">
        <v>12</v>
      </c>
      <c r="H656" s="1">
        <v>44846</v>
      </c>
      <c r="I656" t="s">
        <v>695</v>
      </c>
      <c r="J656" t="s">
        <v>34</v>
      </c>
      <c r="K656" t="s">
        <v>62</v>
      </c>
      <c r="L656" s="3">
        <f>IF(Sales_Table[[#This Row],[Revenue]]=0,0,Sales_Table[[#This Row],[Revenue]]/Sales_Table[[#This Row],[Profit]])</f>
        <v>18.703980099502488</v>
      </c>
    </row>
    <row r="657" spans="1:12" x14ac:dyDescent="0.5">
      <c r="A657" t="s">
        <v>694</v>
      </c>
      <c r="B657">
        <v>1564</v>
      </c>
      <c r="C657">
        <v>674</v>
      </c>
      <c r="D657">
        <v>13</v>
      </c>
      <c r="E657" t="s">
        <v>10</v>
      </c>
      <c r="F657" t="s">
        <v>11</v>
      </c>
      <c r="G657" t="s">
        <v>26</v>
      </c>
      <c r="H657" s="1">
        <v>44846</v>
      </c>
      <c r="I657" t="s">
        <v>695</v>
      </c>
      <c r="J657" t="s">
        <v>34</v>
      </c>
      <c r="K657" t="s">
        <v>62</v>
      </c>
      <c r="L657" s="3">
        <f>IF(Sales_Table[[#This Row],[Revenue]]=0,0,Sales_Table[[#This Row],[Revenue]]/Sales_Table[[#This Row],[Profit]])</f>
        <v>2.3204747774480712</v>
      </c>
    </row>
    <row r="658" spans="1:12" x14ac:dyDescent="0.5">
      <c r="A658" t="s">
        <v>696</v>
      </c>
      <c r="B658">
        <v>2804</v>
      </c>
      <c r="C658">
        <v>936</v>
      </c>
      <c r="D658">
        <v>10</v>
      </c>
      <c r="E658" t="s">
        <v>10</v>
      </c>
      <c r="F658" t="s">
        <v>11</v>
      </c>
      <c r="G658" t="s">
        <v>38</v>
      </c>
      <c r="H658" s="1">
        <v>44598</v>
      </c>
      <c r="I658" t="s">
        <v>697</v>
      </c>
      <c r="J658" t="s">
        <v>59</v>
      </c>
      <c r="K658" t="s">
        <v>71</v>
      </c>
      <c r="L658" s="3">
        <f>IF(Sales_Table[[#This Row],[Revenue]]=0,0,Sales_Table[[#This Row],[Revenue]]/Sales_Table[[#This Row],[Profit]])</f>
        <v>2.9957264957264957</v>
      </c>
    </row>
    <row r="659" spans="1:12" x14ac:dyDescent="0.5">
      <c r="A659" t="s">
        <v>696</v>
      </c>
      <c r="B659">
        <v>2804</v>
      </c>
      <c r="C659">
        <v>936</v>
      </c>
      <c r="D659">
        <v>10</v>
      </c>
      <c r="E659" t="s">
        <v>10</v>
      </c>
      <c r="F659" t="s">
        <v>11</v>
      </c>
      <c r="G659" t="s">
        <v>38</v>
      </c>
      <c r="H659" s="1">
        <v>44144</v>
      </c>
      <c r="I659" t="s">
        <v>698</v>
      </c>
      <c r="J659" t="s">
        <v>14</v>
      </c>
      <c r="K659" t="s">
        <v>118</v>
      </c>
      <c r="L659" s="3">
        <f>IF(Sales_Table[[#This Row],[Revenue]]=0,0,Sales_Table[[#This Row],[Revenue]]/Sales_Table[[#This Row],[Profit]])</f>
        <v>2.9957264957264957</v>
      </c>
    </row>
    <row r="660" spans="1:12" x14ac:dyDescent="0.5">
      <c r="A660" t="s">
        <v>696</v>
      </c>
      <c r="B660">
        <v>2804</v>
      </c>
      <c r="C660">
        <v>936</v>
      </c>
      <c r="D660">
        <v>10</v>
      </c>
      <c r="E660" t="s">
        <v>10</v>
      </c>
      <c r="F660" t="s">
        <v>11</v>
      </c>
      <c r="G660" t="s">
        <v>38</v>
      </c>
      <c r="H660" s="1">
        <v>45049</v>
      </c>
      <c r="I660" t="s">
        <v>699</v>
      </c>
      <c r="J660" t="s">
        <v>14</v>
      </c>
      <c r="K660" t="s">
        <v>118</v>
      </c>
      <c r="L660" s="3">
        <f>IF(Sales_Table[[#This Row],[Revenue]]=0,0,Sales_Table[[#This Row],[Revenue]]/Sales_Table[[#This Row],[Profit]])</f>
        <v>2.9957264957264957</v>
      </c>
    </row>
    <row r="661" spans="1:12" x14ac:dyDescent="0.5">
      <c r="A661" t="s">
        <v>700</v>
      </c>
      <c r="B661">
        <v>2321</v>
      </c>
      <c r="C661">
        <v>505</v>
      </c>
      <c r="D661">
        <v>6</v>
      </c>
      <c r="E661" t="s">
        <v>36</v>
      </c>
      <c r="F661" t="s">
        <v>40</v>
      </c>
      <c r="G661" t="s">
        <v>32</v>
      </c>
      <c r="H661" s="1">
        <v>44838</v>
      </c>
      <c r="I661" t="s">
        <v>701</v>
      </c>
      <c r="J661" t="s">
        <v>17</v>
      </c>
      <c r="K661" t="s">
        <v>51</v>
      </c>
      <c r="L661" s="3">
        <f>IF(Sales_Table[[#This Row],[Revenue]]=0,0,Sales_Table[[#This Row],[Revenue]]/Sales_Table[[#This Row],[Profit]])</f>
        <v>4.5960396039603957</v>
      </c>
    </row>
    <row r="662" spans="1:12" x14ac:dyDescent="0.5">
      <c r="A662" t="s">
        <v>702</v>
      </c>
      <c r="B662">
        <v>5730</v>
      </c>
      <c r="C662">
        <v>482</v>
      </c>
      <c r="D662">
        <v>6</v>
      </c>
      <c r="E662" t="s">
        <v>10</v>
      </c>
      <c r="F662" t="s">
        <v>31</v>
      </c>
      <c r="G662" t="s">
        <v>53</v>
      </c>
      <c r="H662" s="1">
        <v>45525</v>
      </c>
      <c r="I662" t="s">
        <v>703</v>
      </c>
      <c r="J662" t="s">
        <v>14</v>
      </c>
      <c r="K662" t="s">
        <v>118</v>
      </c>
      <c r="L662" s="3">
        <f>IF(Sales_Table[[#This Row],[Revenue]]=0,0,Sales_Table[[#This Row],[Revenue]]/Sales_Table[[#This Row],[Profit]])</f>
        <v>11.887966804979254</v>
      </c>
    </row>
    <row r="663" spans="1:12" x14ac:dyDescent="0.5">
      <c r="A663" t="s">
        <v>704</v>
      </c>
      <c r="B663">
        <v>7441</v>
      </c>
      <c r="C663">
        <v>867</v>
      </c>
      <c r="D663">
        <v>12</v>
      </c>
      <c r="E663" t="s">
        <v>36</v>
      </c>
      <c r="F663" t="s">
        <v>48</v>
      </c>
      <c r="G663" t="s">
        <v>53</v>
      </c>
      <c r="H663" s="1">
        <v>44520</v>
      </c>
      <c r="I663" t="s">
        <v>705</v>
      </c>
      <c r="J663" t="s">
        <v>17</v>
      </c>
      <c r="K663" t="s">
        <v>18</v>
      </c>
      <c r="L663" s="3">
        <f>IF(Sales_Table[[#This Row],[Revenue]]=0,0,Sales_Table[[#This Row],[Revenue]]/Sales_Table[[#This Row],[Profit]])</f>
        <v>8.58246828143022</v>
      </c>
    </row>
    <row r="664" spans="1:12" x14ac:dyDescent="0.5">
      <c r="A664" t="s">
        <v>704</v>
      </c>
      <c r="B664">
        <v>7441</v>
      </c>
      <c r="C664">
        <v>867</v>
      </c>
      <c r="D664">
        <v>12</v>
      </c>
      <c r="E664" t="s">
        <v>36</v>
      </c>
      <c r="F664" t="s">
        <v>48</v>
      </c>
      <c r="G664" t="s">
        <v>53</v>
      </c>
      <c r="H664" s="1">
        <v>43964</v>
      </c>
      <c r="I664" t="s">
        <v>706</v>
      </c>
      <c r="J664" t="s">
        <v>59</v>
      </c>
      <c r="K664" t="s">
        <v>71</v>
      </c>
      <c r="L664" s="3">
        <f>IF(Sales_Table[[#This Row],[Revenue]]=0,0,Sales_Table[[#This Row],[Revenue]]/Sales_Table[[#This Row],[Profit]])</f>
        <v>8.58246828143022</v>
      </c>
    </row>
    <row r="665" spans="1:12" x14ac:dyDescent="0.5">
      <c r="A665" t="s">
        <v>707</v>
      </c>
      <c r="B665">
        <v>1732</v>
      </c>
      <c r="C665">
        <v>766</v>
      </c>
      <c r="D665">
        <v>7</v>
      </c>
      <c r="E665" t="s">
        <v>24</v>
      </c>
      <c r="F665" t="s">
        <v>64</v>
      </c>
      <c r="G665" t="s">
        <v>12</v>
      </c>
      <c r="H665" s="1">
        <v>44985</v>
      </c>
      <c r="I665" t="s">
        <v>708</v>
      </c>
      <c r="J665" t="s">
        <v>20</v>
      </c>
      <c r="K665" t="s">
        <v>42</v>
      </c>
      <c r="L665" s="3">
        <f>IF(Sales_Table[[#This Row],[Revenue]]=0,0,Sales_Table[[#This Row],[Revenue]]/Sales_Table[[#This Row],[Profit]])</f>
        <v>2.2610966057441253</v>
      </c>
    </row>
    <row r="666" spans="1:12" x14ac:dyDescent="0.5">
      <c r="A666" t="s">
        <v>707</v>
      </c>
      <c r="B666">
        <v>8788</v>
      </c>
      <c r="C666">
        <v>3944</v>
      </c>
      <c r="D666">
        <v>19</v>
      </c>
      <c r="E666" t="s">
        <v>24</v>
      </c>
      <c r="F666" t="s">
        <v>52</v>
      </c>
      <c r="G666" t="s">
        <v>32</v>
      </c>
      <c r="H666" s="1">
        <v>44985</v>
      </c>
      <c r="I666" t="s">
        <v>708</v>
      </c>
      <c r="J666" t="s">
        <v>20</v>
      </c>
      <c r="K666" t="s">
        <v>42</v>
      </c>
      <c r="L666" s="3">
        <f>IF(Sales_Table[[#This Row],[Revenue]]=0,0,Sales_Table[[#This Row],[Revenue]]/Sales_Table[[#This Row],[Profit]])</f>
        <v>2.2281947261663286</v>
      </c>
    </row>
    <row r="667" spans="1:12" x14ac:dyDescent="0.5">
      <c r="A667" t="s">
        <v>709</v>
      </c>
      <c r="B667">
        <v>838</v>
      </c>
      <c r="C667">
        <v>271</v>
      </c>
      <c r="D667">
        <v>11</v>
      </c>
      <c r="E667" t="s">
        <v>24</v>
      </c>
      <c r="F667" t="s">
        <v>46</v>
      </c>
      <c r="G667" t="s">
        <v>32</v>
      </c>
      <c r="H667" s="1">
        <v>44217</v>
      </c>
      <c r="I667" t="s">
        <v>710</v>
      </c>
      <c r="J667" t="s">
        <v>79</v>
      </c>
      <c r="K667" t="s">
        <v>80</v>
      </c>
      <c r="L667" s="3">
        <f>IF(Sales_Table[[#This Row],[Revenue]]=0,0,Sales_Table[[#This Row],[Revenue]]/Sales_Table[[#This Row],[Profit]])</f>
        <v>3.092250922509225</v>
      </c>
    </row>
    <row r="668" spans="1:12" x14ac:dyDescent="0.5">
      <c r="A668" t="s">
        <v>709</v>
      </c>
      <c r="B668">
        <v>838</v>
      </c>
      <c r="C668">
        <v>271</v>
      </c>
      <c r="D668">
        <v>11</v>
      </c>
      <c r="E668" t="s">
        <v>24</v>
      </c>
      <c r="F668" t="s">
        <v>46</v>
      </c>
      <c r="G668" t="s">
        <v>32</v>
      </c>
      <c r="H668" s="1">
        <v>44620</v>
      </c>
      <c r="I668" t="s">
        <v>711</v>
      </c>
      <c r="J668" t="s">
        <v>17</v>
      </c>
      <c r="K668" t="s">
        <v>134</v>
      </c>
      <c r="L668" s="3">
        <f>IF(Sales_Table[[#This Row],[Revenue]]=0,0,Sales_Table[[#This Row],[Revenue]]/Sales_Table[[#This Row],[Profit]])</f>
        <v>3.092250922509225</v>
      </c>
    </row>
    <row r="669" spans="1:12" x14ac:dyDescent="0.5">
      <c r="A669" t="s">
        <v>709</v>
      </c>
      <c r="B669">
        <v>3577</v>
      </c>
      <c r="C669">
        <v>699</v>
      </c>
      <c r="D669">
        <v>2</v>
      </c>
      <c r="E669" t="s">
        <v>36</v>
      </c>
      <c r="F669" t="s">
        <v>37</v>
      </c>
      <c r="G669" t="s">
        <v>12</v>
      </c>
      <c r="H669" s="1">
        <v>44217</v>
      </c>
      <c r="I669" t="s">
        <v>710</v>
      </c>
      <c r="J669" t="s">
        <v>79</v>
      </c>
      <c r="K669" t="s">
        <v>80</v>
      </c>
      <c r="L669" s="3">
        <f>IF(Sales_Table[[#This Row],[Revenue]]=0,0,Sales_Table[[#This Row],[Revenue]]/Sales_Table[[#This Row],[Profit]])</f>
        <v>5.1173104434907009</v>
      </c>
    </row>
    <row r="670" spans="1:12" x14ac:dyDescent="0.5">
      <c r="A670" t="s">
        <v>709</v>
      </c>
      <c r="B670">
        <v>3577</v>
      </c>
      <c r="C670">
        <v>699</v>
      </c>
      <c r="D670">
        <v>2</v>
      </c>
      <c r="E670" t="s">
        <v>36</v>
      </c>
      <c r="F670" t="s">
        <v>37</v>
      </c>
      <c r="G670" t="s">
        <v>12</v>
      </c>
      <c r="H670" s="1">
        <v>44620</v>
      </c>
      <c r="I670" t="s">
        <v>711</v>
      </c>
      <c r="J670" t="s">
        <v>17</v>
      </c>
      <c r="K670" t="s">
        <v>134</v>
      </c>
      <c r="L670" s="3">
        <f>IF(Sales_Table[[#This Row],[Revenue]]=0,0,Sales_Table[[#This Row],[Revenue]]/Sales_Table[[#This Row],[Profit]])</f>
        <v>5.1173104434907009</v>
      </c>
    </row>
    <row r="671" spans="1:12" x14ac:dyDescent="0.5">
      <c r="A671" t="s">
        <v>712</v>
      </c>
      <c r="B671">
        <v>7122</v>
      </c>
      <c r="C671">
        <v>1836</v>
      </c>
      <c r="D671">
        <v>6</v>
      </c>
      <c r="E671" t="s">
        <v>10</v>
      </c>
      <c r="F671" t="s">
        <v>67</v>
      </c>
      <c r="G671" t="s">
        <v>26</v>
      </c>
      <c r="H671" s="1">
        <v>45407</v>
      </c>
      <c r="I671" t="s">
        <v>713</v>
      </c>
      <c r="J671" t="s">
        <v>59</v>
      </c>
      <c r="K671" t="s">
        <v>60</v>
      </c>
      <c r="L671" s="3">
        <f>IF(Sales_Table[[#This Row],[Revenue]]=0,0,Sales_Table[[#This Row],[Revenue]]/Sales_Table[[#This Row],[Profit]])</f>
        <v>3.8790849673202614</v>
      </c>
    </row>
    <row r="672" spans="1:12" x14ac:dyDescent="0.5">
      <c r="A672" t="s">
        <v>712</v>
      </c>
      <c r="B672">
        <v>7122</v>
      </c>
      <c r="C672">
        <v>1836</v>
      </c>
      <c r="D672">
        <v>6</v>
      </c>
      <c r="E672" t="s">
        <v>10</v>
      </c>
      <c r="F672" t="s">
        <v>67</v>
      </c>
      <c r="G672" t="s">
        <v>26</v>
      </c>
      <c r="H672" s="1">
        <v>44995</v>
      </c>
      <c r="I672" t="s">
        <v>714</v>
      </c>
      <c r="J672" t="s">
        <v>59</v>
      </c>
      <c r="K672" t="s">
        <v>108</v>
      </c>
      <c r="L672" s="3">
        <f>IF(Sales_Table[[#This Row],[Revenue]]=0,0,Sales_Table[[#This Row],[Revenue]]/Sales_Table[[#This Row],[Profit]])</f>
        <v>3.8790849673202614</v>
      </c>
    </row>
    <row r="673" spans="1:12" x14ac:dyDescent="0.5">
      <c r="A673" t="s">
        <v>712</v>
      </c>
      <c r="B673">
        <v>7122</v>
      </c>
      <c r="C673">
        <v>1836</v>
      </c>
      <c r="D673">
        <v>6</v>
      </c>
      <c r="E673" t="s">
        <v>10</v>
      </c>
      <c r="F673" t="s">
        <v>67</v>
      </c>
      <c r="G673" t="s">
        <v>26</v>
      </c>
      <c r="H673" s="1">
        <v>45117</v>
      </c>
      <c r="I673" t="s">
        <v>715</v>
      </c>
      <c r="J673" t="s">
        <v>20</v>
      </c>
      <c r="K673" t="s">
        <v>42</v>
      </c>
      <c r="L673" s="3">
        <f>IF(Sales_Table[[#This Row],[Revenue]]=0,0,Sales_Table[[#This Row],[Revenue]]/Sales_Table[[#This Row],[Profit]])</f>
        <v>3.8790849673202614</v>
      </c>
    </row>
    <row r="674" spans="1:12" x14ac:dyDescent="0.5">
      <c r="A674" t="s">
        <v>712</v>
      </c>
      <c r="B674">
        <v>7327</v>
      </c>
      <c r="C674">
        <v>2596</v>
      </c>
      <c r="D674">
        <v>15</v>
      </c>
      <c r="E674" t="s">
        <v>24</v>
      </c>
      <c r="F674" t="s">
        <v>46</v>
      </c>
      <c r="G674" t="s">
        <v>38</v>
      </c>
      <c r="H674" s="1">
        <v>45407</v>
      </c>
      <c r="I674" t="s">
        <v>713</v>
      </c>
      <c r="J674" t="s">
        <v>59</v>
      </c>
      <c r="K674" t="s">
        <v>60</v>
      </c>
      <c r="L674" s="3">
        <f>IF(Sales_Table[[#This Row],[Revenue]]=0,0,Sales_Table[[#This Row],[Revenue]]/Sales_Table[[#This Row],[Profit]])</f>
        <v>2.8224191063174113</v>
      </c>
    </row>
    <row r="675" spans="1:12" x14ac:dyDescent="0.5">
      <c r="A675" t="s">
        <v>712</v>
      </c>
      <c r="B675">
        <v>7327</v>
      </c>
      <c r="C675">
        <v>2596</v>
      </c>
      <c r="D675">
        <v>15</v>
      </c>
      <c r="E675" t="s">
        <v>24</v>
      </c>
      <c r="F675" t="s">
        <v>46</v>
      </c>
      <c r="G675" t="s">
        <v>38</v>
      </c>
      <c r="H675" s="1">
        <v>44995</v>
      </c>
      <c r="I675" t="s">
        <v>714</v>
      </c>
      <c r="J675" t="s">
        <v>59</v>
      </c>
      <c r="K675" t="s">
        <v>108</v>
      </c>
      <c r="L675" s="3">
        <f>IF(Sales_Table[[#This Row],[Revenue]]=0,0,Sales_Table[[#This Row],[Revenue]]/Sales_Table[[#This Row],[Profit]])</f>
        <v>2.8224191063174113</v>
      </c>
    </row>
    <row r="676" spans="1:12" x14ac:dyDescent="0.5">
      <c r="A676" t="s">
        <v>712</v>
      </c>
      <c r="B676">
        <v>7327</v>
      </c>
      <c r="C676">
        <v>2596</v>
      </c>
      <c r="D676">
        <v>15</v>
      </c>
      <c r="E676" t="s">
        <v>24</v>
      </c>
      <c r="F676" t="s">
        <v>46</v>
      </c>
      <c r="G676" t="s">
        <v>38</v>
      </c>
      <c r="H676" s="1">
        <v>45117</v>
      </c>
      <c r="I676" t="s">
        <v>715</v>
      </c>
      <c r="J676" t="s">
        <v>20</v>
      </c>
      <c r="K676" t="s">
        <v>42</v>
      </c>
      <c r="L676" s="3">
        <f>IF(Sales_Table[[#This Row],[Revenue]]=0,0,Sales_Table[[#This Row],[Revenue]]/Sales_Table[[#This Row],[Profit]])</f>
        <v>2.8224191063174113</v>
      </c>
    </row>
    <row r="677" spans="1:12" x14ac:dyDescent="0.5">
      <c r="A677" t="s">
        <v>716</v>
      </c>
      <c r="B677">
        <v>2239</v>
      </c>
      <c r="C677">
        <v>1094</v>
      </c>
      <c r="D677">
        <v>18</v>
      </c>
      <c r="E677" t="s">
        <v>10</v>
      </c>
      <c r="F677" t="s">
        <v>22</v>
      </c>
      <c r="G677" t="s">
        <v>53</v>
      </c>
      <c r="H677" s="1">
        <v>45501</v>
      </c>
      <c r="I677" t="s">
        <v>717</v>
      </c>
      <c r="J677" t="s">
        <v>14</v>
      </c>
      <c r="K677" t="s">
        <v>118</v>
      </c>
      <c r="L677" s="3">
        <f>IF(Sales_Table[[#This Row],[Revenue]]=0,0,Sales_Table[[#This Row],[Revenue]]/Sales_Table[[#This Row],[Profit]])</f>
        <v>2.0466179159049358</v>
      </c>
    </row>
    <row r="678" spans="1:12" x14ac:dyDescent="0.5">
      <c r="A678" t="s">
        <v>716</v>
      </c>
      <c r="B678">
        <v>4932</v>
      </c>
      <c r="C678">
        <v>1153</v>
      </c>
      <c r="D678">
        <v>1</v>
      </c>
      <c r="E678" t="s">
        <v>24</v>
      </c>
      <c r="F678" t="s">
        <v>46</v>
      </c>
      <c r="G678" t="s">
        <v>53</v>
      </c>
      <c r="H678" s="1">
        <v>45501</v>
      </c>
      <c r="I678" t="s">
        <v>717</v>
      </c>
      <c r="J678" t="s">
        <v>14</v>
      </c>
      <c r="K678" t="s">
        <v>118</v>
      </c>
      <c r="L678" s="3">
        <f>IF(Sales_Table[[#This Row],[Revenue]]=0,0,Sales_Table[[#This Row],[Revenue]]/Sales_Table[[#This Row],[Profit]])</f>
        <v>4.2775368603642674</v>
      </c>
    </row>
    <row r="679" spans="1:12" x14ac:dyDescent="0.5">
      <c r="A679" t="s">
        <v>718</v>
      </c>
      <c r="B679">
        <v>4609</v>
      </c>
      <c r="C679">
        <v>1084</v>
      </c>
      <c r="D679">
        <v>8</v>
      </c>
      <c r="E679" t="s">
        <v>10</v>
      </c>
      <c r="F679" t="s">
        <v>22</v>
      </c>
      <c r="G679" t="s">
        <v>12</v>
      </c>
      <c r="H679" s="1">
        <v>45137</v>
      </c>
      <c r="I679" t="s">
        <v>719</v>
      </c>
      <c r="J679" t="s">
        <v>14</v>
      </c>
      <c r="K679" t="s">
        <v>28</v>
      </c>
      <c r="L679" s="3">
        <f>IF(Sales_Table[[#This Row],[Revenue]]=0,0,Sales_Table[[#This Row],[Revenue]]/Sales_Table[[#This Row],[Profit]])</f>
        <v>4.2518450184501848</v>
      </c>
    </row>
    <row r="680" spans="1:12" x14ac:dyDescent="0.5">
      <c r="A680" t="s">
        <v>718</v>
      </c>
      <c r="B680">
        <v>2328</v>
      </c>
      <c r="C680">
        <v>788</v>
      </c>
      <c r="D680">
        <v>4</v>
      </c>
      <c r="E680" t="s">
        <v>24</v>
      </c>
      <c r="F680" t="s">
        <v>52</v>
      </c>
      <c r="G680" t="s">
        <v>12</v>
      </c>
      <c r="H680" s="1">
        <v>45137</v>
      </c>
      <c r="I680" t="s">
        <v>719</v>
      </c>
      <c r="J680" t="s">
        <v>14</v>
      </c>
      <c r="K680" t="s">
        <v>28</v>
      </c>
      <c r="L680" s="3">
        <f>IF(Sales_Table[[#This Row],[Revenue]]=0,0,Sales_Table[[#This Row],[Revenue]]/Sales_Table[[#This Row],[Profit]])</f>
        <v>2.9543147208121829</v>
      </c>
    </row>
    <row r="681" spans="1:12" x14ac:dyDescent="0.5">
      <c r="A681" t="s">
        <v>718</v>
      </c>
      <c r="B681">
        <v>4734</v>
      </c>
      <c r="C681">
        <v>958</v>
      </c>
      <c r="D681">
        <v>7</v>
      </c>
      <c r="E681" t="s">
        <v>10</v>
      </c>
      <c r="F681" t="s">
        <v>22</v>
      </c>
      <c r="G681" t="s">
        <v>26</v>
      </c>
      <c r="H681" s="1">
        <v>45137</v>
      </c>
      <c r="I681" t="s">
        <v>719</v>
      </c>
      <c r="J681" t="s">
        <v>14</v>
      </c>
      <c r="K681" t="s">
        <v>28</v>
      </c>
      <c r="L681" s="3">
        <f>IF(Sales_Table[[#This Row],[Revenue]]=0,0,Sales_Table[[#This Row],[Revenue]]/Sales_Table[[#This Row],[Profit]])</f>
        <v>4.9415448851774526</v>
      </c>
    </row>
    <row r="682" spans="1:12" x14ac:dyDescent="0.5">
      <c r="A682" t="s">
        <v>720</v>
      </c>
      <c r="B682">
        <v>1388</v>
      </c>
      <c r="C682">
        <v>345</v>
      </c>
      <c r="D682">
        <v>5</v>
      </c>
      <c r="E682" t="s">
        <v>36</v>
      </c>
      <c r="F682" t="s">
        <v>48</v>
      </c>
      <c r="G682" t="s">
        <v>12</v>
      </c>
      <c r="H682" s="1">
        <v>45570</v>
      </c>
      <c r="I682" t="s">
        <v>721</v>
      </c>
      <c r="J682" t="s">
        <v>20</v>
      </c>
      <c r="K682" t="s">
        <v>42</v>
      </c>
      <c r="L682" s="3">
        <f>IF(Sales_Table[[#This Row],[Revenue]]=0,0,Sales_Table[[#This Row],[Revenue]]/Sales_Table[[#This Row],[Profit]])</f>
        <v>4.023188405797101</v>
      </c>
    </row>
    <row r="683" spans="1:12" x14ac:dyDescent="0.5">
      <c r="A683" t="s">
        <v>720</v>
      </c>
      <c r="B683">
        <v>8555</v>
      </c>
      <c r="C683">
        <v>1638</v>
      </c>
      <c r="D683">
        <v>8</v>
      </c>
      <c r="E683" t="s">
        <v>10</v>
      </c>
      <c r="F683" t="s">
        <v>31</v>
      </c>
      <c r="G683" t="s">
        <v>38</v>
      </c>
      <c r="H683" s="1">
        <v>45570</v>
      </c>
      <c r="I683" t="s">
        <v>721</v>
      </c>
      <c r="J683" t="s">
        <v>20</v>
      </c>
      <c r="K683" t="s">
        <v>42</v>
      </c>
      <c r="L683" s="3">
        <f>IF(Sales_Table[[#This Row],[Revenue]]=0,0,Sales_Table[[#This Row],[Revenue]]/Sales_Table[[#This Row],[Profit]])</f>
        <v>5.2228327228327229</v>
      </c>
    </row>
    <row r="684" spans="1:12" x14ac:dyDescent="0.5">
      <c r="A684" t="s">
        <v>722</v>
      </c>
      <c r="B684">
        <v>9024</v>
      </c>
      <c r="C684">
        <v>730</v>
      </c>
      <c r="D684">
        <v>4</v>
      </c>
      <c r="E684" t="s">
        <v>36</v>
      </c>
      <c r="F684" t="s">
        <v>37</v>
      </c>
      <c r="G684" t="s">
        <v>38</v>
      </c>
      <c r="H684" s="1">
        <v>45342</v>
      </c>
      <c r="I684" t="s">
        <v>723</v>
      </c>
      <c r="J684" t="s">
        <v>59</v>
      </c>
      <c r="K684" t="s">
        <v>60</v>
      </c>
      <c r="L684" s="3">
        <f>IF(Sales_Table[[#This Row],[Revenue]]=0,0,Sales_Table[[#This Row],[Revenue]]/Sales_Table[[#This Row],[Profit]])</f>
        <v>12.361643835616439</v>
      </c>
    </row>
    <row r="685" spans="1:12" x14ac:dyDescent="0.5">
      <c r="A685" t="s">
        <v>722</v>
      </c>
      <c r="B685">
        <v>2468</v>
      </c>
      <c r="C685">
        <v>418</v>
      </c>
      <c r="D685">
        <v>4</v>
      </c>
      <c r="E685" t="s">
        <v>10</v>
      </c>
      <c r="F685" t="s">
        <v>31</v>
      </c>
      <c r="G685" t="s">
        <v>38</v>
      </c>
      <c r="H685" s="1">
        <v>45342</v>
      </c>
      <c r="I685" t="s">
        <v>723</v>
      </c>
      <c r="J685" t="s">
        <v>59</v>
      </c>
      <c r="K685" t="s">
        <v>60</v>
      </c>
      <c r="L685" s="3">
        <f>IF(Sales_Table[[#This Row],[Revenue]]=0,0,Sales_Table[[#This Row],[Revenue]]/Sales_Table[[#This Row],[Profit]])</f>
        <v>5.9043062200956937</v>
      </c>
    </row>
    <row r="686" spans="1:12" x14ac:dyDescent="0.5">
      <c r="A686" t="s">
        <v>724</v>
      </c>
      <c r="B686">
        <v>9438</v>
      </c>
      <c r="C686">
        <v>1801</v>
      </c>
      <c r="D686">
        <v>4</v>
      </c>
      <c r="E686" t="s">
        <v>10</v>
      </c>
      <c r="F686" t="s">
        <v>11</v>
      </c>
      <c r="G686" t="s">
        <v>53</v>
      </c>
      <c r="H686" s="1">
        <v>45035</v>
      </c>
      <c r="I686" t="s">
        <v>725</v>
      </c>
      <c r="J686" t="s">
        <v>14</v>
      </c>
      <c r="K686" t="s">
        <v>28</v>
      </c>
      <c r="L686" s="3">
        <f>IF(Sales_Table[[#This Row],[Revenue]]=0,0,Sales_Table[[#This Row],[Revenue]]/Sales_Table[[#This Row],[Profit]])</f>
        <v>5.2404219877845639</v>
      </c>
    </row>
    <row r="687" spans="1:12" x14ac:dyDescent="0.5">
      <c r="A687" t="s">
        <v>724</v>
      </c>
      <c r="B687">
        <v>9438</v>
      </c>
      <c r="C687">
        <v>1801</v>
      </c>
      <c r="D687">
        <v>4</v>
      </c>
      <c r="E687" t="s">
        <v>10</v>
      </c>
      <c r="F687" t="s">
        <v>11</v>
      </c>
      <c r="G687" t="s">
        <v>53</v>
      </c>
      <c r="H687" s="1">
        <v>45228</v>
      </c>
      <c r="I687" t="s">
        <v>726</v>
      </c>
      <c r="J687" t="s">
        <v>59</v>
      </c>
      <c r="K687" t="s">
        <v>71</v>
      </c>
      <c r="L687" s="3">
        <f>IF(Sales_Table[[#This Row],[Revenue]]=0,0,Sales_Table[[#This Row],[Revenue]]/Sales_Table[[#This Row],[Profit]])</f>
        <v>5.2404219877845639</v>
      </c>
    </row>
    <row r="688" spans="1:12" x14ac:dyDescent="0.5">
      <c r="A688" t="s">
        <v>727</v>
      </c>
      <c r="B688">
        <v>2685</v>
      </c>
      <c r="C688">
        <v>379</v>
      </c>
      <c r="D688">
        <v>18</v>
      </c>
      <c r="E688" t="s">
        <v>10</v>
      </c>
      <c r="F688" t="s">
        <v>67</v>
      </c>
      <c r="G688" t="s">
        <v>12</v>
      </c>
      <c r="H688" s="1">
        <v>44628</v>
      </c>
      <c r="I688" t="s">
        <v>728</v>
      </c>
      <c r="J688" t="s">
        <v>79</v>
      </c>
      <c r="K688" t="s">
        <v>94</v>
      </c>
      <c r="L688" s="3">
        <f>IF(Sales_Table[[#This Row],[Revenue]]=0,0,Sales_Table[[#This Row],[Revenue]]/Sales_Table[[#This Row],[Profit]])</f>
        <v>7.0844327176781006</v>
      </c>
    </row>
    <row r="689" spans="1:12" x14ac:dyDescent="0.5">
      <c r="A689" t="s">
        <v>727</v>
      </c>
      <c r="B689">
        <v>2685</v>
      </c>
      <c r="C689">
        <v>379</v>
      </c>
      <c r="D689">
        <v>18</v>
      </c>
      <c r="E689" t="s">
        <v>10</v>
      </c>
      <c r="F689" t="s">
        <v>67</v>
      </c>
      <c r="G689" t="s">
        <v>12</v>
      </c>
      <c r="H689" s="1">
        <v>44903</v>
      </c>
      <c r="I689" t="s">
        <v>729</v>
      </c>
      <c r="J689" t="s">
        <v>14</v>
      </c>
      <c r="K689" t="s">
        <v>118</v>
      </c>
      <c r="L689" s="3">
        <f>IF(Sales_Table[[#This Row],[Revenue]]=0,0,Sales_Table[[#This Row],[Revenue]]/Sales_Table[[#This Row],[Profit]])</f>
        <v>7.0844327176781006</v>
      </c>
    </row>
    <row r="690" spans="1:12" x14ac:dyDescent="0.5">
      <c r="A690" t="s">
        <v>727</v>
      </c>
      <c r="B690">
        <v>9916</v>
      </c>
      <c r="C690">
        <v>4602</v>
      </c>
      <c r="D690">
        <v>14</v>
      </c>
      <c r="E690" t="s">
        <v>36</v>
      </c>
      <c r="F690" t="s">
        <v>40</v>
      </c>
      <c r="G690" t="s">
        <v>12</v>
      </c>
      <c r="H690" s="1">
        <v>44628</v>
      </c>
      <c r="I690" t="s">
        <v>728</v>
      </c>
      <c r="J690" t="s">
        <v>79</v>
      </c>
      <c r="K690" t="s">
        <v>94</v>
      </c>
      <c r="L690" s="3">
        <f>IF(Sales_Table[[#This Row],[Revenue]]=0,0,Sales_Table[[#This Row],[Revenue]]/Sales_Table[[#This Row],[Profit]])</f>
        <v>2.1547153411560189</v>
      </c>
    </row>
    <row r="691" spans="1:12" x14ac:dyDescent="0.5">
      <c r="A691" t="s">
        <v>727</v>
      </c>
      <c r="B691">
        <v>9916</v>
      </c>
      <c r="C691">
        <v>4602</v>
      </c>
      <c r="D691">
        <v>14</v>
      </c>
      <c r="E691" t="s">
        <v>36</v>
      </c>
      <c r="F691" t="s">
        <v>40</v>
      </c>
      <c r="G691" t="s">
        <v>12</v>
      </c>
      <c r="H691" s="1">
        <v>44903</v>
      </c>
      <c r="I691" t="s">
        <v>729</v>
      </c>
      <c r="J691" t="s">
        <v>14</v>
      </c>
      <c r="K691" t="s">
        <v>118</v>
      </c>
      <c r="L691" s="3">
        <f>IF(Sales_Table[[#This Row],[Revenue]]=0,0,Sales_Table[[#This Row],[Revenue]]/Sales_Table[[#This Row],[Profit]])</f>
        <v>2.1547153411560189</v>
      </c>
    </row>
    <row r="692" spans="1:12" x14ac:dyDescent="0.5">
      <c r="A692" t="s">
        <v>727</v>
      </c>
      <c r="B692">
        <v>6184</v>
      </c>
      <c r="C692">
        <v>50</v>
      </c>
      <c r="D692">
        <v>14</v>
      </c>
      <c r="E692" t="s">
        <v>10</v>
      </c>
      <c r="F692" t="s">
        <v>11</v>
      </c>
      <c r="G692" t="s">
        <v>38</v>
      </c>
      <c r="H692" s="1">
        <v>44628</v>
      </c>
      <c r="I692" t="s">
        <v>728</v>
      </c>
      <c r="J692" t="s">
        <v>79</v>
      </c>
      <c r="K692" t="s">
        <v>94</v>
      </c>
      <c r="L692" s="3">
        <f>IF(Sales_Table[[#This Row],[Revenue]]=0,0,Sales_Table[[#This Row],[Revenue]]/Sales_Table[[#This Row],[Profit]])</f>
        <v>123.68</v>
      </c>
    </row>
    <row r="693" spans="1:12" x14ac:dyDescent="0.5">
      <c r="A693" t="s">
        <v>727</v>
      </c>
      <c r="B693">
        <v>6184</v>
      </c>
      <c r="C693">
        <v>50</v>
      </c>
      <c r="D693">
        <v>14</v>
      </c>
      <c r="E693" t="s">
        <v>10</v>
      </c>
      <c r="F693" t="s">
        <v>11</v>
      </c>
      <c r="G693" t="s">
        <v>38</v>
      </c>
      <c r="H693" s="1">
        <v>44903</v>
      </c>
      <c r="I693" t="s">
        <v>729</v>
      </c>
      <c r="J693" t="s">
        <v>14</v>
      </c>
      <c r="K693" t="s">
        <v>118</v>
      </c>
      <c r="L693" s="3">
        <f>IF(Sales_Table[[#This Row],[Revenue]]=0,0,Sales_Table[[#This Row],[Revenue]]/Sales_Table[[#This Row],[Profit]])</f>
        <v>123.68</v>
      </c>
    </row>
    <row r="694" spans="1:12" x14ac:dyDescent="0.5">
      <c r="A694" t="s">
        <v>727</v>
      </c>
      <c r="B694">
        <v>4548</v>
      </c>
      <c r="C694">
        <v>2135</v>
      </c>
      <c r="D694">
        <v>8</v>
      </c>
      <c r="E694" t="s">
        <v>24</v>
      </c>
      <c r="F694" t="s">
        <v>46</v>
      </c>
      <c r="G694" t="s">
        <v>26</v>
      </c>
      <c r="H694" s="1">
        <v>44628</v>
      </c>
      <c r="I694" t="s">
        <v>728</v>
      </c>
      <c r="J694" t="s">
        <v>79</v>
      </c>
      <c r="K694" t="s">
        <v>94</v>
      </c>
      <c r="L694" s="3">
        <f>IF(Sales_Table[[#This Row],[Revenue]]=0,0,Sales_Table[[#This Row],[Revenue]]/Sales_Table[[#This Row],[Profit]])</f>
        <v>2.1302107728337236</v>
      </c>
    </row>
    <row r="695" spans="1:12" x14ac:dyDescent="0.5">
      <c r="A695" t="s">
        <v>727</v>
      </c>
      <c r="B695">
        <v>4548</v>
      </c>
      <c r="C695">
        <v>2135</v>
      </c>
      <c r="D695">
        <v>8</v>
      </c>
      <c r="E695" t="s">
        <v>24</v>
      </c>
      <c r="F695" t="s">
        <v>46</v>
      </c>
      <c r="G695" t="s">
        <v>26</v>
      </c>
      <c r="H695" s="1">
        <v>44903</v>
      </c>
      <c r="I695" t="s">
        <v>729</v>
      </c>
      <c r="J695" t="s">
        <v>14</v>
      </c>
      <c r="K695" t="s">
        <v>118</v>
      </c>
      <c r="L695" s="3">
        <f>IF(Sales_Table[[#This Row],[Revenue]]=0,0,Sales_Table[[#This Row],[Revenue]]/Sales_Table[[#This Row],[Profit]])</f>
        <v>2.1302107728337236</v>
      </c>
    </row>
    <row r="696" spans="1:12" x14ac:dyDescent="0.5">
      <c r="A696" t="s">
        <v>730</v>
      </c>
      <c r="B696">
        <v>7195</v>
      </c>
      <c r="C696">
        <v>1665</v>
      </c>
      <c r="D696">
        <v>7</v>
      </c>
      <c r="E696" t="s">
        <v>24</v>
      </c>
      <c r="F696" t="s">
        <v>46</v>
      </c>
      <c r="G696" t="s">
        <v>53</v>
      </c>
      <c r="H696" s="1">
        <v>45500</v>
      </c>
      <c r="I696" t="s">
        <v>731</v>
      </c>
      <c r="J696" t="s">
        <v>20</v>
      </c>
      <c r="K696" t="s">
        <v>56</v>
      </c>
      <c r="L696" s="3">
        <f>IF(Sales_Table[[#This Row],[Revenue]]=0,0,Sales_Table[[#This Row],[Revenue]]/Sales_Table[[#This Row],[Profit]])</f>
        <v>4.3213213213213217</v>
      </c>
    </row>
    <row r="697" spans="1:12" x14ac:dyDescent="0.5">
      <c r="A697" t="s">
        <v>730</v>
      </c>
      <c r="B697">
        <v>7195</v>
      </c>
      <c r="C697">
        <v>1665</v>
      </c>
      <c r="D697">
        <v>7</v>
      </c>
      <c r="E697" t="s">
        <v>24</v>
      </c>
      <c r="F697" t="s">
        <v>46</v>
      </c>
      <c r="G697" t="s">
        <v>53</v>
      </c>
      <c r="H697" s="1">
        <v>44747</v>
      </c>
      <c r="I697" t="s">
        <v>732</v>
      </c>
      <c r="J697" t="s">
        <v>20</v>
      </c>
      <c r="K697" t="s">
        <v>21</v>
      </c>
      <c r="L697" s="3">
        <f>IF(Sales_Table[[#This Row],[Revenue]]=0,0,Sales_Table[[#This Row],[Revenue]]/Sales_Table[[#This Row],[Profit]])</f>
        <v>4.3213213213213217</v>
      </c>
    </row>
    <row r="698" spans="1:12" x14ac:dyDescent="0.5">
      <c r="A698" t="s">
        <v>733</v>
      </c>
      <c r="B698">
        <v>3098</v>
      </c>
      <c r="C698">
        <v>957</v>
      </c>
      <c r="D698">
        <v>18</v>
      </c>
      <c r="E698" t="s">
        <v>36</v>
      </c>
      <c r="F698" t="s">
        <v>87</v>
      </c>
      <c r="G698" t="s">
        <v>53</v>
      </c>
      <c r="H698" s="1">
        <v>45477</v>
      </c>
      <c r="I698" t="s">
        <v>734</v>
      </c>
      <c r="J698" t="s">
        <v>59</v>
      </c>
      <c r="K698" t="s">
        <v>71</v>
      </c>
      <c r="L698" s="3">
        <f>IF(Sales_Table[[#This Row],[Revenue]]=0,0,Sales_Table[[#This Row],[Revenue]]/Sales_Table[[#This Row],[Profit]])</f>
        <v>3.2371995820271682</v>
      </c>
    </row>
    <row r="699" spans="1:12" x14ac:dyDescent="0.5">
      <c r="A699" t="s">
        <v>735</v>
      </c>
      <c r="B699">
        <v>5412</v>
      </c>
      <c r="C699">
        <v>1192</v>
      </c>
      <c r="D699">
        <v>18</v>
      </c>
      <c r="E699" t="s">
        <v>36</v>
      </c>
      <c r="F699" t="s">
        <v>37</v>
      </c>
      <c r="G699" t="s">
        <v>38</v>
      </c>
      <c r="H699" s="1">
        <v>45350</v>
      </c>
      <c r="I699" t="s">
        <v>736</v>
      </c>
      <c r="J699" t="s">
        <v>34</v>
      </c>
      <c r="K699" t="s">
        <v>62</v>
      </c>
      <c r="L699" s="3">
        <f>IF(Sales_Table[[#This Row],[Revenue]]=0,0,Sales_Table[[#This Row],[Revenue]]/Sales_Table[[#This Row],[Profit]])</f>
        <v>4.5402684563758386</v>
      </c>
    </row>
    <row r="700" spans="1:12" x14ac:dyDescent="0.5">
      <c r="A700" t="s">
        <v>735</v>
      </c>
      <c r="B700">
        <v>5412</v>
      </c>
      <c r="C700">
        <v>1192</v>
      </c>
      <c r="D700">
        <v>18</v>
      </c>
      <c r="E700" t="s">
        <v>36</v>
      </c>
      <c r="F700" t="s">
        <v>37</v>
      </c>
      <c r="G700" t="s">
        <v>38</v>
      </c>
      <c r="H700" s="1">
        <v>45660</v>
      </c>
      <c r="I700" t="s">
        <v>737</v>
      </c>
      <c r="J700" t="s">
        <v>34</v>
      </c>
      <c r="K700" t="s">
        <v>35</v>
      </c>
      <c r="L700" s="3">
        <f>IF(Sales_Table[[#This Row],[Revenue]]=0,0,Sales_Table[[#This Row],[Revenue]]/Sales_Table[[#This Row],[Profit]])</f>
        <v>4.5402684563758386</v>
      </c>
    </row>
    <row r="701" spans="1:12" x14ac:dyDescent="0.5">
      <c r="A701" t="s">
        <v>738</v>
      </c>
      <c r="B701">
        <v>1397</v>
      </c>
      <c r="C701">
        <v>686</v>
      </c>
      <c r="D701">
        <v>11</v>
      </c>
      <c r="E701" t="s">
        <v>36</v>
      </c>
      <c r="F701" t="s">
        <v>40</v>
      </c>
      <c r="G701" t="s">
        <v>38</v>
      </c>
      <c r="H701" s="1">
        <v>44537</v>
      </c>
      <c r="I701" t="s">
        <v>739</v>
      </c>
      <c r="J701" t="s">
        <v>20</v>
      </c>
      <c r="K701" t="s">
        <v>42</v>
      </c>
      <c r="L701" s="3">
        <f>IF(Sales_Table[[#This Row],[Revenue]]=0,0,Sales_Table[[#This Row],[Revenue]]/Sales_Table[[#This Row],[Profit]])</f>
        <v>2.0364431486880465</v>
      </c>
    </row>
    <row r="702" spans="1:12" x14ac:dyDescent="0.5">
      <c r="A702" t="s">
        <v>740</v>
      </c>
      <c r="B702">
        <v>9279</v>
      </c>
      <c r="C702">
        <v>552</v>
      </c>
      <c r="D702">
        <v>14</v>
      </c>
      <c r="E702" t="s">
        <v>36</v>
      </c>
      <c r="F702" t="s">
        <v>40</v>
      </c>
      <c r="G702" t="s">
        <v>32</v>
      </c>
      <c r="H702" s="1">
        <v>44544</v>
      </c>
      <c r="I702" t="s">
        <v>741</v>
      </c>
      <c r="J702" t="s">
        <v>20</v>
      </c>
      <c r="K702" t="s">
        <v>21</v>
      </c>
      <c r="L702" s="3">
        <f>IF(Sales_Table[[#This Row],[Revenue]]=0,0,Sales_Table[[#This Row],[Revenue]]/Sales_Table[[#This Row],[Profit]])</f>
        <v>16.809782608695652</v>
      </c>
    </row>
    <row r="703" spans="1:12" x14ac:dyDescent="0.5">
      <c r="A703" t="s">
        <v>740</v>
      </c>
      <c r="B703">
        <v>9279</v>
      </c>
      <c r="C703">
        <v>552</v>
      </c>
      <c r="D703">
        <v>14</v>
      </c>
      <c r="E703" t="s">
        <v>36</v>
      </c>
      <c r="F703" t="s">
        <v>40</v>
      </c>
      <c r="G703" t="s">
        <v>32</v>
      </c>
      <c r="H703" s="1">
        <v>44165</v>
      </c>
      <c r="I703" t="s">
        <v>742</v>
      </c>
      <c r="J703" t="s">
        <v>34</v>
      </c>
      <c r="K703" t="s">
        <v>75</v>
      </c>
      <c r="L703" s="3">
        <f>IF(Sales_Table[[#This Row],[Revenue]]=0,0,Sales_Table[[#This Row],[Revenue]]/Sales_Table[[#This Row],[Profit]])</f>
        <v>16.809782608695652</v>
      </c>
    </row>
    <row r="704" spans="1:12" x14ac:dyDescent="0.5">
      <c r="A704" t="s">
        <v>740</v>
      </c>
      <c r="B704">
        <v>2596</v>
      </c>
      <c r="C704">
        <v>1003</v>
      </c>
      <c r="D704">
        <v>19</v>
      </c>
      <c r="E704" t="s">
        <v>24</v>
      </c>
      <c r="F704" t="s">
        <v>52</v>
      </c>
      <c r="G704" t="s">
        <v>38</v>
      </c>
      <c r="H704" s="1">
        <v>44544</v>
      </c>
      <c r="I704" t="s">
        <v>741</v>
      </c>
      <c r="J704" t="s">
        <v>20</v>
      </c>
      <c r="K704" t="s">
        <v>21</v>
      </c>
      <c r="L704" s="3">
        <f>IF(Sales_Table[[#This Row],[Revenue]]=0,0,Sales_Table[[#This Row],[Revenue]]/Sales_Table[[#This Row],[Profit]])</f>
        <v>2.5882352941176472</v>
      </c>
    </row>
    <row r="705" spans="1:12" x14ac:dyDescent="0.5">
      <c r="A705" t="s">
        <v>740</v>
      </c>
      <c r="B705">
        <v>2596</v>
      </c>
      <c r="C705">
        <v>1003</v>
      </c>
      <c r="D705">
        <v>19</v>
      </c>
      <c r="E705" t="s">
        <v>24</v>
      </c>
      <c r="F705" t="s">
        <v>52</v>
      </c>
      <c r="G705" t="s">
        <v>38</v>
      </c>
      <c r="H705" s="1">
        <v>44165</v>
      </c>
      <c r="I705" t="s">
        <v>742</v>
      </c>
      <c r="J705" t="s">
        <v>34</v>
      </c>
      <c r="K705" t="s">
        <v>75</v>
      </c>
      <c r="L705" s="3">
        <f>IF(Sales_Table[[#This Row],[Revenue]]=0,0,Sales_Table[[#This Row],[Revenue]]/Sales_Table[[#This Row],[Profit]])</f>
        <v>2.5882352941176472</v>
      </c>
    </row>
    <row r="706" spans="1:12" x14ac:dyDescent="0.5">
      <c r="A706" t="s">
        <v>743</v>
      </c>
      <c r="B706">
        <v>6732</v>
      </c>
      <c r="C706">
        <v>911</v>
      </c>
      <c r="D706">
        <v>19</v>
      </c>
      <c r="E706" t="s">
        <v>36</v>
      </c>
      <c r="F706" t="s">
        <v>87</v>
      </c>
      <c r="G706" t="s">
        <v>32</v>
      </c>
      <c r="H706" s="1">
        <v>44559</v>
      </c>
      <c r="I706" t="s">
        <v>744</v>
      </c>
      <c r="J706" t="s">
        <v>20</v>
      </c>
      <c r="K706" t="s">
        <v>21</v>
      </c>
      <c r="L706" s="3">
        <f>IF(Sales_Table[[#This Row],[Revenue]]=0,0,Sales_Table[[#This Row],[Revenue]]/Sales_Table[[#This Row],[Profit]])</f>
        <v>7.3896816684961584</v>
      </c>
    </row>
    <row r="707" spans="1:12" x14ac:dyDescent="0.5">
      <c r="A707" t="s">
        <v>743</v>
      </c>
      <c r="B707">
        <v>4495</v>
      </c>
      <c r="C707">
        <v>1408</v>
      </c>
      <c r="D707">
        <v>14</v>
      </c>
      <c r="E707" t="s">
        <v>24</v>
      </c>
      <c r="F707" t="s">
        <v>25</v>
      </c>
      <c r="G707" t="s">
        <v>32</v>
      </c>
      <c r="H707" s="1">
        <v>44559</v>
      </c>
      <c r="I707" t="s">
        <v>744</v>
      </c>
      <c r="J707" t="s">
        <v>20</v>
      </c>
      <c r="K707" t="s">
        <v>21</v>
      </c>
      <c r="L707" s="3">
        <f>IF(Sales_Table[[#This Row],[Revenue]]=0,0,Sales_Table[[#This Row],[Revenue]]/Sales_Table[[#This Row],[Profit]])</f>
        <v>3.1924715909090908</v>
      </c>
    </row>
    <row r="708" spans="1:12" x14ac:dyDescent="0.5">
      <c r="A708" t="s">
        <v>745</v>
      </c>
      <c r="B708">
        <v>9653</v>
      </c>
      <c r="C708">
        <v>2471</v>
      </c>
      <c r="D708">
        <v>6</v>
      </c>
      <c r="E708" t="s">
        <v>24</v>
      </c>
      <c r="F708" t="s">
        <v>52</v>
      </c>
      <c r="G708" t="s">
        <v>12</v>
      </c>
      <c r="H708" s="1">
        <v>45481</v>
      </c>
      <c r="I708" t="s">
        <v>746</v>
      </c>
      <c r="J708" t="s">
        <v>20</v>
      </c>
      <c r="K708" t="s">
        <v>21</v>
      </c>
      <c r="L708" s="3">
        <f>IF(Sales_Table[[#This Row],[Revenue]]=0,0,Sales_Table[[#This Row],[Revenue]]/Sales_Table[[#This Row],[Profit]])</f>
        <v>3.9065155807365439</v>
      </c>
    </row>
    <row r="709" spans="1:12" x14ac:dyDescent="0.5">
      <c r="A709" t="s">
        <v>747</v>
      </c>
      <c r="B709">
        <v>8945</v>
      </c>
      <c r="C709">
        <v>1728</v>
      </c>
      <c r="D709">
        <v>10</v>
      </c>
      <c r="E709" t="s">
        <v>36</v>
      </c>
      <c r="F709" t="s">
        <v>37</v>
      </c>
      <c r="G709" t="s">
        <v>12</v>
      </c>
      <c r="H709" s="1">
        <v>44237</v>
      </c>
      <c r="I709" t="s">
        <v>748</v>
      </c>
      <c r="J709" t="s">
        <v>17</v>
      </c>
      <c r="K709" t="s">
        <v>134</v>
      </c>
      <c r="L709" s="3">
        <f>IF(Sales_Table[[#This Row],[Revenue]]=0,0,Sales_Table[[#This Row],[Revenue]]/Sales_Table[[#This Row],[Profit]])</f>
        <v>5.1765046296296298</v>
      </c>
    </row>
    <row r="710" spans="1:12" x14ac:dyDescent="0.5">
      <c r="A710" t="s">
        <v>749</v>
      </c>
      <c r="B710">
        <v>4007</v>
      </c>
      <c r="C710">
        <v>201</v>
      </c>
      <c r="D710">
        <v>13</v>
      </c>
      <c r="E710" t="s">
        <v>36</v>
      </c>
      <c r="F710" t="s">
        <v>87</v>
      </c>
      <c r="G710" t="s">
        <v>53</v>
      </c>
      <c r="H710" s="1">
        <v>44125</v>
      </c>
      <c r="I710" t="s">
        <v>750</v>
      </c>
      <c r="J710" t="s">
        <v>79</v>
      </c>
      <c r="K710" t="s">
        <v>80</v>
      </c>
      <c r="L710" s="3">
        <f>IF(Sales_Table[[#This Row],[Revenue]]=0,0,Sales_Table[[#This Row],[Revenue]]/Sales_Table[[#This Row],[Profit]])</f>
        <v>19.935323383084576</v>
      </c>
    </row>
    <row r="711" spans="1:12" x14ac:dyDescent="0.5">
      <c r="A711" t="s">
        <v>749</v>
      </c>
      <c r="B711">
        <v>4007</v>
      </c>
      <c r="C711">
        <v>201</v>
      </c>
      <c r="D711">
        <v>13</v>
      </c>
      <c r="E711" t="s">
        <v>36</v>
      </c>
      <c r="F711" t="s">
        <v>87</v>
      </c>
      <c r="G711" t="s">
        <v>53</v>
      </c>
      <c r="H711" s="1">
        <v>45033</v>
      </c>
      <c r="I711" t="s">
        <v>751</v>
      </c>
      <c r="J711" t="s">
        <v>59</v>
      </c>
      <c r="K711" t="s">
        <v>60</v>
      </c>
      <c r="L711" s="3">
        <f>IF(Sales_Table[[#This Row],[Revenue]]=0,0,Sales_Table[[#This Row],[Revenue]]/Sales_Table[[#This Row],[Profit]])</f>
        <v>19.935323383084576</v>
      </c>
    </row>
    <row r="712" spans="1:12" x14ac:dyDescent="0.5">
      <c r="A712" t="s">
        <v>752</v>
      </c>
      <c r="B712">
        <v>810</v>
      </c>
      <c r="C712">
        <v>231</v>
      </c>
      <c r="D712">
        <v>18</v>
      </c>
      <c r="E712" t="s">
        <v>36</v>
      </c>
      <c r="F712" t="s">
        <v>87</v>
      </c>
      <c r="G712" t="s">
        <v>32</v>
      </c>
      <c r="H712" s="1">
        <v>44125</v>
      </c>
      <c r="I712" t="s">
        <v>753</v>
      </c>
      <c r="J712" t="s">
        <v>14</v>
      </c>
      <c r="K712" t="s">
        <v>118</v>
      </c>
      <c r="L712" s="3">
        <f>IF(Sales_Table[[#This Row],[Revenue]]=0,0,Sales_Table[[#This Row],[Revenue]]/Sales_Table[[#This Row],[Profit]])</f>
        <v>3.5064935064935066</v>
      </c>
    </row>
    <row r="713" spans="1:12" x14ac:dyDescent="0.5">
      <c r="A713" t="s">
        <v>754</v>
      </c>
      <c r="B713">
        <v>9789</v>
      </c>
      <c r="C713">
        <v>2071</v>
      </c>
      <c r="D713">
        <v>18</v>
      </c>
      <c r="E713" t="s">
        <v>36</v>
      </c>
      <c r="F713" t="s">
        <v>87</v>
      </c>
      <c r="G713" t="s">
        <v>26</v>
      </c>
      <c r="H713" s="1">
        <v>45288</v>
      </c>
      <c r="I713" t="s">
        <v>755</v>
      </c>
      <c r="J713" t="s">
        <v>20</v>
      </c>
      <c r="K713" t="s">
        <v>56</v>
      </c>
      <c r="L713" s="3">
        <f>IF(Sales_Table[[#This Row],[Revenue]]=0,0,Sales_Table[[#This Row],[Revenue]]/Sales_Table[[#This Row],[Profit]])</f>
        <v>4.7267020762916463</v>
      </c>
    </row>
    <row r="714" spans="1:12" x14ac:dyDescent="0.5">
      <c r="A714" t="s">
        <v>754</v>
      </c>
      <c r="B714">
        <v>9229</v>
      </c>
      <c r="C714">
        <v>4090</v>
      </c>
      <c r="D714">
        <v>8</v>
      </c>
      <c r="E714" t="s">
        <v>10</v>
      </c>
      <c r="F714" t="s">
        <v>11</v>
      </c>
      <c r="G714" t="s">
        <v>53</v>
      </c>
      <c r="H714" s="1">
        <v>45288</v>
      </c>
      <c r="I714" t="s">
        <v>755</v>
      </c>
      <c r="J714" t="s">
        <v>20</v>
      </c>
      <c r="K714" t="s">
        <v>56</v>
      </c>
      <c r="L714" s="3">
        <f>IF(Sales_Table[[#This Row],[Revenue]]=0,0,Sales_Table[[#This Row],[Revenue]]/Sales_Table[[#This Row],[Profit]])</f>
        <v>2.2564792176039119</v>
      </c>
    </row>
    <row r="715" spans="1:12" x14ac:dyDescent="0.5">
      <c r="A715" t="s">
        <v>756</v>
      </c>
      <c r="B715">
        <v>8141</v>
      </c>
      <c r="C715">
        <v>3968</v>
      </c>
      <c r="D715">
        <v>18</v>
      </c>
      <c r="E715" t="s">
        <v>24</v>
      </c>
      <c r="F715" t="s">
        <v>46</v>
      </c>
      <c r="G715" t="s">
        <v>26</v>
      </c>
      <c r="H715" s="1">
        <v>44918</v>
      </c>
      <c r="I715" t="s">
        <v>757</v>
      </c>
      <c r="J715" t="s">
        <v>20</v>
      </c>
      <c r="K715" t="s">
        <v>56</v>
      </c>
      <c r="L715" s="3">
        <f>IF(Sales_Table[[#This Row],[Revenue]]=0,0,Sales_Table[[#This Row],[Revenue]]/Sales_Table[[#This Row],[Profit]])</f>
        <v>2.051663306451613</v>
      </c>
    </row>
    <row r="716" spans="1:12" x14ac:dyDescent="0.5">
      <c r="A716" t="s">
        <v>756</v>
      </c>
      <c r="B716">
        <v>8141</v>
      </c>
      <c r="C716">
        <v>3968</v>
      </c>
      <c r="D716">
        <v>18</v>
      </c>
      <c r="E716" t="s">
        <v>24</v>
      </c>
      <c r="F716" t="s">
        <v>46</v>
      </c>
      <c r="G716" t="s">
        <v>26</v>
      </c>
      <c r="H716" s="1">
        <v>44783</v>
      </c>
      <c r="I716" t="s">
        <v>758</v>
      </c>
      <c r="J716" t="s">
        <v>17</v>
      </c>
      <c r="K716" t="s">
        <v>134</v>
      </c>
      <c r="L716" s="3">
        <f>IF(Sales_Table[[#This Row],[Revenue]]=0,0,Sales_Table[[#This Row],[Revenue]]/Sales_Table[[#This Row],[Profit]])</f>
        <v>2.051663306451613</v>
      </c>
    </row>
    <row r="717" spans="1:12" x14ac:dyDescent="0.5">
      <c r="A717" t="s">
        <v>756</v>
      </c>
      <c r="B717">
        <v>1067</v>
      </c>
      <c r="C717">
        <v>251</v>
      </c>
      <c r="D717">
        <v>14</v>
      </c>
      <c r="E717" t="s">
        <v>36</v>
      </c>
      <c r="F717" t="s">
        <v>48</v>
      </c>
      <c r="G717" t="s">
        <v>32</v>
      </c>
      <c r="H717" s="1">
        <v>44918</v>
      </c>
      <c r="I717" t="s">
        <v>757</v>
      </c>
      <c r="J717" t="s">
        <v>20</v>
      </c>
      <c r="K717" t="s">
        <v>56</v>
      </c>
      <c r="L717" s="3">
        <f>IF(Sales_Table[[#This Row],[Revenue]]=0,0,Sales_Table[[#This Row],[Revenue]]/Sales_Table[[#This Row],[Profit]])</f>
        <v>4.2509960159362548</v>
      </c>
    </row>
    <row r="718" spans="1:12" x14ac:dyDescent="0.5">
      <c r="A718" t="s">
        <v>756</v>
      </c>
      <c r="B718">
        <v>1067</v>
      </c>
      <c r="C718">
        <v>251</v>
      </c>
      <c r="D718">
        <v>14</v>
      </c>
      <c r="E718" t="s">
        <v>36</v>
      </c>
      <c r="F718" t="s">
        <v>48</v>
      </c>
      <c r="G718" t="s">
        <v>32</v>
      </c>
      <c r="H718" s="1">
        <v>44783</v>
      </c>
      <c r="I718" t="s">
        <v>758</v>
      </c>
      <c r="J718" t="s">
        <v>17</v>
      </c>
      <c r="K718" t="s">
        <v>134</v>
      </c>
      <c r="L718" s="3">
        <f>IF(Sales_Table[[#This Row],[Revenue]]=0,0,Sales_Table[[#This Row],[Revenue]]/Sales_Table[[#This Row],[Profit]])</f>
        <v>4.2509960159362548</v>
      </c>
    </row>
    <row r="719" spans="1:12" x14ac:dyDescent="0.5">
      <c r="A719" t="s">
        <v>759</v>
      </c>
      <c r="B719">
        <v>3839</v>
      </c>
      <c r="C719">
        <v>1415</v>
      </c>
      <c r="D719">
        <v>10</v>
      </c>
      <c r="E719" t="s">
        <v>24</v>
      </c>
      <c r="F719" t="s">
        <v>64</v>
      </c>
      <c r="G719" t="s">
        <v>12</v>
      </c>
      <c r="H719" s="1">
        <v>45216</v>
      </c>
      <c r="I719" t="s">
        <v>760</v>
      </c>
      <c r="J719" t="s">
        <v>34</v>
      </c>
      <c r="K719" t="s">
        <v>35</v>
      </c>
      <c r="L719" s="3">
        <f>IF(Sales_Table[[#This Row],[Revenue]]=0,0,Sales_Table[[#This Row],[Revenue]]/Sales_Table[[#This Row],[Profit]])</f>
        <v>2.7130742049469965</v>
      </c>
    </row>
    <row r="720" spans="1:12" x14ac:dyDescent="0.5">
      <c r="A720" t="s">
        <v>759</v>
      </c>
      <c r="B720">
        <v>3839</v>
      </c>
      <c r="C720">
        <v>1415</v>
      </c>
      <c r="D720">
        <v>10</v>
      </c>
      <c r="E720" t="s">
        <v>24</v>
      </c>
      <c r="F720" t="s">
        <v>64</v>
      </c>
      <c r="G720" t="s">
        <v>12</v>
      </c>
      <c r="H720" s="1">
        <v>44620</v>
      </c>
      <c r="I720" t="s">
        <v>761</v>
      </c>
      <c r="J720" t="s">
        <v>14</v>
      </c>
      <c r="K720" t="s">
        <v>28</v>
      </c>
      <c r="L720" s="3">
        <f>IF(Sales_Table[[#This Row],[Revenue]]=0,0,Sales_Table[[#This Row],[Revenue]]/Sales_Table[[#This Row],[Profit]])</f>
        <v>2.7130742049469965</v>
      </c>
    </row>
    <row r="721" spans="1:12" x14ac:dyDescent="0.5">
      <c r="A721" t="s">
        <v>762</v>
      </c>
      <c r="B721">
        <v>2858</v>
      </c>
      <c r="C721">
        <v>482</v>
      </c>
      <c r="D721">
        <v>13</v>
      </c>
      <c r="E721" t="s">
        <v>10</v>
      </c>
      <c r="F721" t="s">
        <v>11</v>
      </c>
      <c r="G721" t="s">
        <v>53</v>
      </c>
      <c r="H721" s="1">
        <v>45436</v>
      </c>
      <c r="I721" t="s">
        <v>763</v>
      </c>
      <c r="J721" t="s">
        <v>59</v>
      </c>
      <c r="K721" t="s">
        <v>71</v>
      </c>
      <c r="L721" s="3">
        <f>IF(Sales_Table[[#This Row],[Revenue]]=0,0,Sales_Table[[#This Row],[Revenue]]/Sales_Table[[#This Row],[Profit]])</f>
        <v>5.9294605809128633</v>
      </c>
    </row>
    <row r="722" spans="1:12" x14ac:dyDescent="0.5">
      <c r="A722" t="s">
        <v>764</v>
      </c>
      <c r="B722">
        <v>2137</v>
      </c>
      <c r="C722">
        <v>638</v>
      </c>
      <c r="D722">
        <v>12</v>
      </c>
      <c r="E722" t="s">
        <v>36</v>
      </c>
      <c r="F722" t="s">
        <v>87</v>
      </c>
      <c r="G722" t="s">
        <v>26</v>
      </c>
      <c r="H722" s="1">
        <v>44106</v>
      </c>
      <c r="I722" t="s">
        <v>765</v>
      </c>
      <c r="J722" t="s">
        <v>20</v>
      </c>
      <c r="K722" t="s">
        <v>42</v>
      </c>
      <c r="L722" s="3">
        <f>IF(Sales_Table[[#This Row],[Revenue]]=0,0,Sales_Table[[#This Row],[Revenue]]/Sales_Table[[#This Row],[Profit]])</f>
        <v>3.3495297805642634</v>
      </c>
    </row>
    <row r="723" spans="1:12" x14ac:dyDescent="0.5">
      <c r="A723" t="s">
        <v>764</v>
      </c>
      <c r="B723">
        <v>2831</v>
      </c>
      <c r="C723">
        <v>1289</v>
      </c>
      <c r="D723">
        <v>12</v>
      </c>
      <c r="E723" t="s">
        <v>36</v>
      </c>
      <c r="F723" t="s">
        <v>40</v>
      </c>
      <c r="G723" t="s">
        <v>26</v>
      </c>
      <c r="H723" s="1">
        <v>44106</v>
      </c>
      <c r="I723" t="s">
        <v>765</v>
      </c>
      <c r="J723" t="s">
        <v>20</v>
      </c>
      <c r="K723" t="s">
        <v>42</v>
      </c>
      <c r="L723" s="3">
        <f>IF(Sales_Table[[#This Row],[Revenue]]=0,0,Sales_Table[[#This Row],[Revenue]]/Sales_Table[[#This Row],[Profit]])</f>
        <v>2.1962761830876647</v>
      </c>
    </row>
    <row r="724" spans="1:12" x14ac:dyDescent="0.5">
      <c r="A724" t="s">
        <v>766</v>
      </c>
      <c r="B724">
        <v>3913</v>
      </c>
      <c r="C724">
        <v>961</v>
      </c>
      <c r="D724">
        <v>15</v>
      </c>
      <c r="E724" t="s">
        <v>36</v>
      </c>
      <c r="F724" t="s">
        <v>48</v>
      </c>
      <c r="G724" t="s">
        <v>12</v>
      </c>
      <c r="H724" s="1">
        <v>45332</v>
      </c>
      <c r="I724" t="s">
        <v>767</v>
      </c>
      <c r="J724" t="s">
        <v>79</v>
      </c>
      <c r="K724" t="s">
        <v>80</v>
      </c>
      <c r="L724" s="3">
        <f>IF(Sales_Table[[#This Row],[Revenue]]=0,0,Sales_Table[[#This Row],[Revenue]]/Sales_Table[[#This Row],[Profit]])</f>
        <v>4.071800208116545</v>
      </c>
    </row>
    <row r="725" spans="1:12" x14ac:dyDescent="0.5">
      <c r="A725" t="s">
        <v>766</v>
      </c>
      <c r="B725">
        <v>3913</v>
      </c>
      <c r="C725">
        <v>961</v>
      </c>
      <c r="D725">
        <v>15</v>
      </c>
      <c r="E725" t="s">
        <v>36</v>
      </c>
      <c r="F725" t="s">
        <v>48</v>
      </c>
      <c r="G725" t="s">
        <v>12</v>
      </c>
      <c r="H725" s="1">
        <v>44233</v>
      </c>
      <c r="I725" t="s">
        <v>768</v>
      </c>
      <c r="J725" t="s">
        <v>34</v>
      </c>
      <c r="K725" t="s">
        <v>75</v>
      </c>
      <c r="L725" s="3">
        <f>IF(Sales_Table[[#This Row],[Revenue]]=0,0,Sales_Table[[#This Row],[Revenue]]/Sales_Table[[#This Row],[Profit]])</f>
        <v>4.071800208116545</v>
      </c>
    </row>
    <row r="726" spans="1:12" x14ac:dyDescent="0.5">
      <c r="A726" t="s">
        <v>769</v>
      </c>
      <c r="B726">
        <v>4468</v>
      </c>
      <c r="C726">
        <v>1940</v>
      </c>
      <c r="D726">
        <v>9</v>
      </c>
      <c r="E726" t="s">
        <v>24</v>
      </c>
      <c r="F726" t="s">
        <v>52</v>
      </c>
      <c r="G726" t="s">
        <v>53</v>
      </c>
      <c r="H726" s="1">
        <v>44636</v>
      </c>
      <c r="I726" t="s">
        <v>770</v>
      </c>
      <c r="J726" t="s">
        <v>14</v>
      </c>
      <c r="K726" t="s">
        <v>118</v>
      </c>
      <c r="L726" s="3">
        <f>IF(Sales_Table[[#This Row],[Revenue]]=0,0,Sales_Table[[#This Row],[Revenue]]/Sales_Table[[#This Row],[Profit]])</f>
        <v>2.3030927835051545</v>
      </c>
    </row>
    <row r="727" spans="1:12" x14ac:dyDescent="0.5">
      <c r="A727" t="s">
        <v>771</v>
      </c>
      <c r="B727">
        <v>1579</v>
      </c>
      <c r="C727">
        <v>602</v>
      </c>
      <c r="D727">
        <v>9</v>
      </c>
      <c r="E727" t="s">
        <v>10</v>
      </c>
      <c r="F727" t="s">
        <v>31</v>
      </c>
      <c r="G727" t="s">
        <v>38</v>
      </c>
      <c r="H727" s="1">
        <v>43975</v>
      </c>
      <c r="I727" t="s">
        <v>772</v>
      </c>
      <c r="J727" t="s">
        <v>79</v>
      </c>
      <c r="K727" t="s">
        <v>86</v>
      </c>
      <c r="L727" s="3">
        <f>IF(Sales_Table[[#This Row],[Revenue]]=0,0,Sales_Table[[#This Row],[Revenue]]/Sales_Table[[#This Row],[Profit]])</f>
        <v>2.6229235880398671</v>
      </c>
    </row>
    <row r="728" spans="1:12" x14ac:dyDescent="0.5">
      <c r="A728" t="s">
        <v>771</v>
      </c>
      <c r="B728">
        <v>1579</v>
      </c>
      <c r="C728">
        <v>602</v>
      </c>
      <c r="D728">
        <v>9</v>
      </c>
      <c r="E728" t="s">
        <v>10</v>
      </c>
      <c r="F728" t="s">
        <v>31</v>
      </c>
      <c r="G728" t="s">
        <v>38</v>
      </c>
      <c r="H728" s="1">
        <v>45704</v>
      </c>
      <c r="I728" t="s">
        <v>773</v>
      </c>
      <c r="J728" t="s">
        <v>59</v>
      </c>
      <c r="K728" t="s">
        <v>60</v>
      </c>
      <c r="L728" s="3">
        <f>IF(Sales_Table[[#This Row],[Revenue]]=0,0,Sales_Table[[#This Row],[Revenue]]/Sales_Table[[#This Row],[Profit]])</f>
        <v>2.6229235880398671</v>
      </c>
    </row>
    <row r="729" spans="1:12" x14ac:dyDescent="0.5">
      <c r="A729" t="s">
        <v>771</v>
      </c>
      <c r="B729">
        <v>1579</v>
      </c>
      <c r="C729">
        <v>602</v>
      </c>
      <c r="D729">
        <v>9</v>
      </c>
      <c r="E729" t="s">
        <v>10</v>
      </c>
      <c r="F729" t="s">
        <v>31</v>
      </c>
      <c r="G729" t="s">
        <v>38</v>
      </c>
      <c r="H729" s="1">
        <v>44516</v>
      </c>
      <c r="I729" t="s">
        <v>774</v>
      </c>
      <c r="J729" t="s">
        <v>79</v>
      </c>
      <c r="K729" t="s">
        <v>86</v>
      </c>
      <c r="L729" s="3">
        <f>IF(Sales_Table[[#This Row],[Revenue]]=0,0,Sales_Table[[#This Row],[Revenue]]/Sales_Table[[#This Row],[Profit]])</f>
        <v>2.6229235880398671</v>
      </c>
    </row>
    <row r="730" spans="1:12" x14ac:dyDescent="0.5">
      <c r="A730" t="s">
        <v>771</v>
      </c>
      <c r="B730">
        <v>1579</v>
      </c>
      <c r="C730">
        <v>602</v>
      </c>
      <c r="D730">
        <v>9</v>
      </c>
      <c r="E730" t="s">
        <v>10</v>
      </c>
      <c r="F730" t="s">
        <v>31</v>
      </c>
      <c r="G730" t="s">
        <v>38</v>
      </c>
      <c r="H730" s="1">
        <v>45543</v>
      </c>
      <c r="I730" t="s">
        <v>775</v>
      </c>
      <c r="J730" t="s">
        <v>20</v>
      </c>
      <c r="K730" t="s">
        <v>56</v>
      </c>
      <c r="L730" s="3">
        <f>IF(Sales_Table[[#This Row],[Revenue]]=0,0,Sales_Table[[#This Row],[Revenue]]/Sales_Table[[#This Row],[Profit]])</f>
        <v>2.6229235880398671</v>
      </c>
    </row>
    <row r="731" spans="1:12" x14ac:dyDescent="0.5">
      <c r="A731" t="s">
        <v>771</v>
      </c>
      <c r="B731">
        <v>3760</v>
      </c>
      <c r="C731">
        <v>1849</v>
      </c>
      <c r="D731">
        <v>19</v>
      </c>
      <c r="E731" t="s">
        <v>36</v>
      </c>
      <c r="F731" t="s">
        <v>40</v>
      </c>
      <c r="G731" t="s">
        <v>32</v>
      </c>
      <c r="H731" s="1">
        <v>43975</v>
      </c>
      <c r="I731" t="s">
        <v>772</v>
      </c>
      <c r="J731" t="s">
        <v>79</v>
      </c>
      <c r="K731" t="s">
        <v>86</v>
      </c>
      <c r="L731" s="3">
        <f>IF(Sales_Table[[#This Row],[Revenue]]=0,0,Sales_Table[[#This Row],[Revenue]]/Sales_Table[[#This Row],[Profit]])</f>
        <v>2.0335316387236344</v>
      </c>
    </row>
    <row r="732" spans="1:12" x14ac:dyDescent="0.5">
      <c r="A732" t="s">
        <v>771</v>
      </c>
      <c r="B732">
        <v>3760</v>
      </c>
      <c r="C732">
        <v>1849</v>
      </c>
      <c r="D732">
        <v>19</v>
      </c>
      <c r="E732" t="s">
        <v>36</v>
      </c>
      <c r="F732" t="s">
        <v>40</v>
      </c>
      <c r="G732" t="s">
        <v>32</v>
      </c>
      <c r="H732" s="1">
        <v>45704</v>
      </c>
      <c r="I732" t="s">
        <v>773</v>
      </c>
      <c r="J732" t="s">
        <v>59</v>
      </c>
      <c r="K732" t="s">
        <v>60</v>
      </c>
      <c r="L732" s="3">
        <f>IF(Sales_Table[[#This Row],[Revenue]]=0,0,Sales_Table[[#This Row],[Revenue]]/Sales_Table[[#This Row],[Profit]])</f>
        <v>2.0335316387236344</v>
      </c>
    </row>
    <row r="733" spans="1:12" x14ac:dyDescent="0.5">
      <c r="A733" t="s">
        <v>771</v>
      </c>
      <c r="B733">
        <v>3760</v>
      </c>
      <c r="C733">
        <v>1849</v>
      </c>
      <c r="D733">
        <v>19</v>
      </c>
      <c r="E733" t="s">
        <v>36</v>
      </c>
      <c r="F733" t="s">
        <v>40</v>
      </c>
      <c r="G733" t="s">
        <v>32</v>
      </c>
      <c r="H733" s="1">
        <v>44516</v>
      </c>
      <c r="I733" t="s">
        <v>774</v>
      </c>
      <c r="J733" t="s">
        <v>79</v>
      </c>
      <c r="K733" t="s">
        <v>86</v>
      </c>
      <c r="L733" s="3">
        <f>IF(Sales_Table[[#This Row],[Revenue]]=0,0,Sales_Table[[#This Row],[Revenue]]/Sales_Table[[#This Row],[Profit]])</f>
        <v>2.0335316387236344</v>
      </c>
    </row>
    <row r="734" spans="1:12" x14ac:dyDescent="0.5">
      <c r="A734" t="s">
        <v>771</v>
      </c>
      <c r="B734">
        <v>3760</v>
      </c>
      <c r="C734">
        <v>1849</v>
      </c>
      <c r="D734">
        <v>19</v>
      </c>
      <c r="E734" t="s">
        <v>36</v>
      </c>
      <c r="F734" t="s">
        <v>40</v>
      </c>
      <c r="G734" t="s">
        <v>32</v>
      </c>
      <c r="H734" s="1">
        <v>45543</v>
      </c>
      <c r="I734" t="s">
        <v>775</v>
      </c>
      <c r="J734" t="s">
        <v>20</v>
      </c>
      <c r="K734" t="s">
        <v>56</v>
      </c>
      <c r="L734" s="3">
        <f>IF(Sales_Table[[#This Row],[Revenue]]=0,0,Sales_Table[[#This Row],[Revenue]]/Sales_Table[[#This Row],[Profit]])</f>
        <v>2.0335316387236344</v>
      </c>
    </row>
    <row r="735" spans="1:12" x14ac:dyDescent="0.5">
      <c r="A735" t="s">
        <v>776</v>
      </c>
      <c r="B735">
        <v>8706</v>
      </c>
      <c r="C735">
        <v>3099</v>
      </c>
      <c r="D735">
        <v>14</v>
      </c>
      <c r="E735" t="s">
        <v>24</v>
      </c>
      <c r="F735" t="s">
        <v>25</v>
      </c>
      <c r="G735" t="s">
        <v>38</v>
      </c>
      <c r="H735" s="1">
        <v>44741</v>
      </c>
      <c r="I735" t="s">
        <v>777</v>
      </c>
      <c r="J735" t="s">
        <v>17</v>
      </c>
      <c r="K735" t="s">
        <v>18</v>
      </c>
      <c r="L735" s="3">
        <f>IF(Sales_Table[[#This Row],[Revenue]]=0,0,Sales_Table[[#This Row],[Revenue]]/Sales_Table[[#This Row],[Profit]])</f>
        <v>2.8092933204259438</v>
      </c>
    </row>
    <row r="736" spans="1:12" x14ac:dyDescent="0.5">
      <c r="A736" t="s">
        <v>776</v>
      </c>
      <c r="B736">
        <v>4708</v>
      </c>
      <c r="C736">
        <v>696</v>
      </c>
      <c r="D736">
        <v>14</v>
      </c>
      <c r="E736" t="s">
        <v>10</v>
      </c>
      <c r="F736" t="s">
        <v>11</v>
      </c>
      <c r="G736" t="s">
        <v>38</v>
      </c>
      <c r="H736" s="1">
        <v>44741</v>
      </c>
      <c r="I736" t="s">
        <v>777</v>
      </c>
      <c r="J736" t="s">
        <v>17</v>
      </c>
      <c r="K736" t="s">
        <v>18</v>
      </c>
      <c r="L736" s="3">
        <f>IF(Sales_Table[[#This Row],[Revenue]]=0,0,Sales_Table[[#This Row],[Revenue]]/Sales_Table[[#This Row],[Profit]])</f>
        <v>6.764367816091954</v>
      </c>
    </row>
    <row r="737" spans="1:12" x14ac:dyDescent="0.5">
      <c r="A737" t="s">
        <v>776</v>
      </c>
      <c r="B737">
        <v>8089</v>
      </c>
      <c r="C737">
        <v>3132</v>
      </c>
      <c r="D737">
        <v>17</v>
      </c>
      <c r="E737" t="s">
        <v>36</v>
      </c>
      <c r="F737" t="s">
        <v>40</v>
      </c>
      <c r="G737" t="s">
        <v>53</v>
      </c>
      <c r="H737" s="1">
        <v>44741</v>
      </c>
      <c r="I737" t="s">
        <v>777</v>
      </c>
      <c r="J737" t="s">
        <v>17</v>
      </c>
      <c r="K737" t="s">
        <v>18</v>
      </c>
      <c r="L737" s="3">
        <f>IF(Sales_Table[[#This Row],[Revenue]]=0,0,Sales_Table[[#This Row],[Revenue]]/Sales_Table[[#This Row],[Profit]])</f>
        <v>2.5826947637292466</v>
      </c>
    </row>
    <row r="738" spans="1:12" x14ac:dyDescent="0.5">
      <c r="A738" t="s">
        <v>778</v>
      </c>
      <c r="B738">
        <v>5462</v>
      </c>
      <c r="C738">
        <v>673</v>
      </c>
      <c r="D738">
        <v>12</v>
      </c>
      <c r="E738" t="s">
        <v>10</v>
      </c>
      <c r="F738" t="s">
        <v>22</v>
      </c>
      <c r="G738" t="s">
        <v>26</v>
      </c>
      <c r="H738" s="1">
        <v>44868</v>
      </c>
      <c r="I738" t="s">
        <v>779</v>
      </c>
      <c r="J738" t="s">
        <v>59</v>
      </c>
      <c r="K738" t="s">
        <v>71</v>
      </c>
      <c r="L738" s="3">
        <f>IF(Sales_Table[[#This Row],[Revenue]]=0,0,Sales_Table[[#This Row],[Revenue]]/Sales_Table[[#This Row],[Profit]])</f>
        <v>8.1158989598811289</v>
      </c>
    </row>
    <row r="739" spans="1:12" x14ac:dyDescent="0.5">
      <c r="A739" t="s">
        <v>780</v>
      </c>
      <c r="B739">
        <v>6392</v>
      </c>
      <c r="C739">
        <v>444</v>
      </c>
      <c r="D739">
        <v>18</v>
      </c>
      <c r="E739" t="s">
        <v>10</v>
      </c>
      <c r="F739" t="s">
        <v>11</v>
      </c>
      <c r="G739" t="s">
        <v>38</v>
      </c>
      <c r="H739" s="1">
        <v>45258</v>
      </c>
      <c r="I739" t="s">
        <v>781</v>
      </c>
      <c r="J739" t="s">
        <v>14</v>
      </c>
      <c r="K739" t="s">
        <v>118</v>
      </c>
      <c r="L739" s="3">
        <f>IF(Sales_Table[[#This Row],[Revenue]]=0,0,Sales_Table[[#This Row],[Revenue]]/Sales_Table[[#This Row],[Profit]])</f>
        <v>14.396396396396396</v>
      </c>
    </row>
    <row r="740" spans="1:12" x14ac:dyDescent="0.5">
      <c r="A740" t="s">
        <v>782</v>
      </c>
      <c r="B740">
        <v>8706</v>
      </c>
      <c r="C740">
        <v>1724</v>
      </c>
      <c r="D740">
        <v>3</v>
      </c>
      <c r="E740" t="s">
        <v>10</v>
      </c>
      <c r="F740" t="s">
        <v>11</v>
      </c>
      <c r="G740" t="s">
        <v>26</v>
      </c>
      <c r="H740" s="1">
        <v>43946</v>
      </c>
      <c r="I740" t="s">
        <v>783</v>
      </c>
      <c r="J740" t="s">
        <v>14</v>
      </c>
      <c r="K740" t="s">
        <v>28</v>
      </c>
      <c r="L740" s="3">
        <f>IF(Sales_Table[[#This Row],[Revenue]]=0,0,Sales_Table[[#This Row],[Revenue]]/Sales_Table[[#This Row],[Profit]])</f>
        <v>5.0498839907192572</v>
      </c>
    </row>
    <row r="741" spans="1:12" x14ac:dyDescent="0.5">
      <c r="A741" t="s">
        <v>784</v>
      </c>
      <c r="B741">
        <v>2349</v>
      </c>
      <c r="C741">
        <v>319</v>
      </c>
      <c r="D741">
        <v>4</v>
      </c>
      <c r="E741" t="s">
        <v>24</v>
      </c>
      <c r="F741" t="s">
        <v>25</v>
      </c>
      <c r="G741" t="s">
        <v>12</v>
      </c>
      <c r="H741" s="1">
        <v>44579</v>
      </c>
      <c r="I741" t="s">
        <v>785</v>
      </c>
      <c r="J741" t="s">
        <v>14</v>
      </c>
      <c r="K741" t="s">
        <v>15</v>
      </c>
      <c r="L741" s="3">
        <f>IF(Sales_Table[[#This Row],[Revenue]]=0,0,Sales_Table[[#This Row],[Revenue]]/Sales_Table[[#This Row],[Profit]])</f>
        <v>7.3636363636363633</v>
      </c>
    </row>
    <row r="742" spans="1:12" x14ac:dyDescent="0.5">
      <c r="A742" t="s">
        <v>784</v>
      </c>
      <c r="B742">
        <v>8220</v>
      </c>
      <c r="C742">
        <v>3882</v>
      </c>
      <c r="D742">
        <v>14</v>
      </c>
      <c r="E742" t="s">
        <v>36</v>
      </c>
      <c r="F742" t="s">
        <v>40</v>
      </c>
      <c r="G742" t="s">
        <v>12</v>
      </c>
      <c r="H742" s="1">
        <v>44579</v>
      </c>
      <c r="I742" t="s">
        <v>785</v>
      </c>
      <c r="J742" t="s">
        <v>14</v>
      </c>
      <c r="K742" t="s">
        <v>15</v>
      </c>
      <c r="L742" s="3">
        <f>IF(Sales_Table[[#This Row],[Revenue]]=0,0,Sales_Table[[#This Row],[Revenue]]/Sales_Table[[#This Row],[Profit]])</f>
        <v>2.117465224111283</v>
      </c>
    </row>
    <row r="743" spans="1:12" x14ac:dyDescent="0.5">
      <c r="A743" t="s">
        <v>784</v>
      </c>
      <c r="B743">
        <v>2379</v>
      </c>
      <c r="C743">
        <v>279</v>
      </c>
      <c r="D743">
        <v>7</v>
      </c>
      <c r="E743" t="s">
        <v>36</v>
      </c>
      <c r="F743" t="s">
        <v>40</v>
      </c>
      <c r="G743" t="s">
        <v>26</v>
      </c>
      <c r="H743" s="1">
        <v>44579</v>
      </c>
      <c r="I743" t="s">
        <v>785</v>
      </c>
      <c r="J743" t="s">
        <v>14</v>
      </c>
      <c r="K743" t="s">
        <v>15</v>
      </c>
      <c r="L743" s="3">
        <f>IF(Sales_Table[[#This Row],[Revenue]]=0,0,Sales_Table[[#This Row],[Revenue]]/Sales_Table[[#This Row],[Profit]])</f>
        <v>8.5268817204301079</v>
      </c>
    </row>
    <row r="744" spans="1:12" x14ac:dyDescent="0.5">
      <c r="A744" t="s">
        <v>784</v>
      </c>
      <c r="B744">
        <v>7377</v>
      </c>
      <c r="C744">
        <v>2049</v>
      </c>
      <c r="D744">
        <v>4</v>
      </c>
      <c r="E744" t="s">
        <v>24</v>
      </c>
      <c r="F744" t="s">
        <v>46</v>
      </c>
      <c r="G744" t="s">
        <v>12</v>
      </c>
      <c r="H744" s="1">
        <v>44579</v>
      </c>
      <c r="I744" t="s">
        <v>785</v>
      </c>
      <c r="J744" t="s">
        <v>14</v>
      </c>
      <c r="K744" t="s">
        <v>15</v>
      </c>
      <c r="L744" s="3">
        <f>IF(Sales_Table[[#This Row],[Revenue]]=0,0,Sales_Table[[#This Row],[Revenue]]/Sales_Table[[#This Row],[Profit]])</f>
        <v>3.6002928257686677</v>
      </c>
    </row>
    <row r="745" spans="1:12" x14ac:dyDescent="0.5">
      <c r="A745" t="s">
        <v>786</v>
      </c>
      <c r="B745">
        <v>717</v>
      </c>
      <c r="C745">
        <v>158</v>
      </c>
      <c r="D745">
        <v>16</v>
      </c>
      <c r="E745" t="s">
        <v>36</v>
      </c>
      <c r="F745" t="s">
        <v>37</v>
      </c>
      <c r="G745" t="s">
        <v>38</v>
      </c>
      <c r="H745" s="1">
        <v>44643</v>
      </c>
      <c r="I745" t="s">
        <v>787</v>
      </c>
      <c r="J745" t="s">
        <v>79</v>
      </c>
      <c r="K745" t="s">
        <v>94</v>
      </c>
      <c r="L745" s="3">
        <f>IF(Sales_Table[[#This Row],[Revenue]]=0,0,Sales_Table[[#This Row],[Revenue]]/Sales_Table[[#This Row],[Profit]])</f>
        <v>4.537974683544304</v>
      </c>
    </row>
    <row r="746" spans="1:12" x14ac:dyDescent="0.5">
      <c r="A746" t="s">
        <v>786</v>
      </c>
      <c r="B746">
        <v>717</v>
      </c>
      <c r="C746">
        <v>158</v>
      </c>
      <c r="D746">
        <v>16</v>
      </c>
      <c r="E746" t="s">
        <v>36</v>
      </c>
      <c r="F746" t="s">
        <v>37</v>
      </c>
      <c r="G746" t="s">
        <v>38</v>
      </c>
      <c r="H746" s="1">
        <v>44006</v>
      </c>
      <c r="I746" t="s">
        <v>788</v>
      </c>
      <c r="J746" t="s">
        <v>14</v>
      </c>
      <c r="K746" t="s">
        <v>15</v>
      </c>
      <c r="L746" s="3">
        <f>IF(Sales_Table[[#This Row],[Revenue]]=0,0,Sales_Table[[#This Row],[Revenue]]/Sales_Table[[#This Row],[Profit]])</f>
        <v>4.537974683544304</v>
      </c>
    </row>
    <row r="747" spans="1:12" x14ac:dyDescent="0.5">
      <c r="A747" t="s">
        <v>786</v>
      </c>
      <c r="B747">
        <v>717</v>
      </c>
      <c r="C747">
        <v>158</v>
      </c>
      <c r="D747">
        <v>16</v>
      </c>
      <c r="E747" t="s">
        <v>36</v>
      </c>
      <c r="F747" t="s">
        <v>37</v>
      </c>
      <c r="G747" t="s">
        <v>38</v>
      </c>
      <c r="H747" s="1">
        <v>44918</v>
      </c>
      <c r="I747" t="s">
        <v>789</v>
      </c>
      <c r="J747" t="s">
        <v>20</v>
      </c>
      <c r="K747" t="s">
        <v>21</v>
      </c>
      <c r="L747" s="3">
        <f>IF(Sales_Table[[#This Row],[Revenue]]=0,0,Sales_Table[[#This Row],[Revenue]]/Sales_Table[[#This Row],[Profit]])</f>
        <v>4.537974683544304</v>
      </c>
    </row>
    <row r="748" spans="1:12" x14ac:dyDescent="0.5">
      <c r="A748" t="s">
        <v>786</v>
      </c>
      <c r="B748">
        <v>717</v>
      </c>
      <c r="C748">
        <v>158</v>
      </c>
      <c r="D748">
        <v>16</v>
      </c>
      <c r="E748" t="s">
        <v>36</v>
      </c>
      <c r="F748" t="s">
        <v>37</v>
      </c>
      <c r="G748" t="s">
        <v>38</v>
      </c>
      <c r="H748" s="1">
        <v>45620</v>
      </c>
      <c r="I748" t="s">
        <v>790</v>
      </c>
      <c r="J748" t="s">
        <v>20</v>
      </c>
      <c r="K748" t="s">
        <v>42</v>
      </c>
      <c r="L748" s="3">
        <f>IF(Sales_Table[[#This Row],[Revenue]]=0,0,Sales_Table[[#This Row],[Revenue]]/Sales_Table[[#This Row],[Profit]])</f>
        <v>4.537974683544304</v>
      </c>
    </row>
    <row r="749" spans="1:12" x14ac:dyDescent="0.5">
      <c r="A749" t="s">
        <v>786</v>
      </c>
      <c r="B749">
        <v>717</v>
      </c>
      <c r="C749">
        <v>158</v>
      </c>
      <c r="D749">
        <v>16</v>
      </c>
      <c r="E749" t="s">
        <v>36</v>
      </c>
      <c r="F749" t="s">
        <v>37</v>
      </c>
      <c r="G749" t="s">
        <v>38</v>
      </c>
      <c r="H749" s="1">
        <v>44141</v>
      </c>
      <c r="I749" t="s">
        <v>791</v>
      </c>
      <c r="J749" t="s">
        <v>14</v>
      </c>
      <c r="K749" t="s">
        <v>28</v>
      </c>
      <c r="L749" s="3">
        <f>IF(Sales_Table[[#This Row],[Revenue]]=0,0,Sales_Table[[#This Row],[Revenue]]/Sales_Table[[#This Row],[Profit]])</f>
        <v>4.537974683544304</v>
      </c>
    </row>
    <row r="750" spans="1:12" x14ac:dyDescent="0.5">
      <c r="A750" t="s">
        <v>786</v>
      </c>
      <c r="B750">
        <v>717</v>
      </c>
      <c r="C750">
        <v>158</v>
      </c>
      <c r="D750">
        <v>16</v>
      </c>
      <c r="E750" t="s">
        <v>36</v>
      </c>
      <c r="F750" t="s">
        <v>37</v>
      </c>
      <c r="G750" t="s">
        <v>38</v>
      </c>
      <c r="H750" s="1">
        <v>45223</v>
      </c>
      <c r="I750" t="s">
        <v>792</v>
      </c>
      <c r="J750" t="s">
        <v>20</v>
      </c>
      <c r="K750" t="s">
        <v>56</v>
      </c>
      <c r="L750" s="3">
        <f>IF(Sales_Table[[#This Row],[Revenue]]=0,0,Sales_Table[[#This Row],[Revenue]]/Sales_Table[[#This Row],[Profit]])</f>
        <v>4.537974683544304</v>
      </c>
    </row>
    <row r="751" spans="1:12" x14ac:dyDescent="0.5">
      <c r="A751" t="s">
        <v>786</v>
      </c>
      <c r="B751">
        <v>508</v>
      </c>
      <c r="C751">
        <v>177</v>
      </c>
      <c r="D751">
        <v>17</v>
      </c>
      <c r="E751" t="s">
        <v>36</v>
      </c>
      <c r="F751" t="s">
        <v>48</v>
      </c>
      <c r="G751" t="s">
        <v>12</v>
      </c>
      <c r="H751" s="1">
        <v>44643</v>
      </c>
      <c r="I751" t="s">
        <v>787</v>
      </c>
      <c r="J751" t="s">
        <v>79</v>
      </c>
      <c r="K751" t="s">
        <v>94</v>
      </c>
      <c r="L751" s="3">
        <f>IF(Sales_Table[[#This Row],[Revenue]]=0,0,Sales_Table[[#This Row],[Revenue]]/Sales_Table[[#This Row],[Profit]])</f>
        <v>2.8700564971751414</v>
      </c>
    </row>
    <row r="752" spans="1:12" x14ac:dyDescent="0.5">
      <c r="A752" t="s">
        <v>786</v>
      </c>
      <c r="B752">
        <v>508</v>
      </c>
      <c r="C752">
        <v>177</v>
      </c>
      <c r="D752">
        <v>17</v>
      </c>
      <c r="E752" t="s">
        <v>36</v>
      </c>
      <c r="F752" t="s">
        <v>48</v>
      </c>
      <c r="G752" t="s">
        <v>12</v>
      </c>
      <c r="H752" s="1">
        <v>44006</v>
      </c>
      <c r="I752" t="s">
        <v>788</v>
      </c>
      <c r="J752" t="s">
        <v>14</v>
      </c>
      <c r="K752" t="s">
        <v>15</v>
      </c>
      <c r="L752" s="3">
        <f>IF(Sales_Table[[#This Row],[Revenue]]=0,0,Sales_Table[[#This Row],[Revenue]]/Sales_Table[[#This Row],[Profit]])</f>
        <v>2.8700564971751414</v>
      </c>
    </row>
    <row r="753" spans="1:12" x14ac:dyDescent="0.5">
      <c r="A753" t="s">
        <v>786</v>
      </c>
      <c r="B753">
        <v>508</v>
      </c>
      <c r="C753">
        <v>177</v>
      </c>
      <c r="D753">
        <v>17</v>
      </c>
      <c r="E753" t="s">
        <v>36</v>
      </c>
      <c r="F753" t="s">
        <v>48</v>
      </c>
      <c r="G753" t="s">
        <v>12</v>
      </c>
      <c r="H753" s="1">
        <v>44918</v>
      </c>
      <c r="I753" t="s">
        <v>789</v>
      </c>
      <c r="J753" t="s">
        <v>20</v>
      </c>
      <c r="K753" t="s">
        <v>21</v>
      </c>
      <c r="L753" s="3">
        <f>IF(Sales_Table[[#This Row],[Revenue]]=0,0,Sales_Table[[#This Row],[Revenue]]/Sales_Table[[#This Row],[Profit]])</f>
        <v>2.8700564971751414</v>
      </c>
    </row>
    <row r="754" spans="1:12" x14ac:dyDescent="0.5">
      <c r="A754" t="s">
        <v>786</v>
      </c>
      <c r="B754">
        <v>508</v>
      </c>
      <c r="C754">
        <v>177</v>
      </c>
      <c r="D754">
        <v>17</v>
      </c>
      <c r="E754" t="s">
        <v>36</v>
      </c>
      <c r="F754" t="s">
        <v>48</v>
      </c>
      <c r="G754" t="s">
        <v>12</v>
      </c>
      <c r="H754" s="1">
        <v>45620</v>
      </c>
      <c r="I754" t="s">
        <v>790</v>
      </c>
      <c r="J754" t="s">
        <v>20</v>
      </c>
      <c r="K754" t="s">
        <v>42</v>
      </c>
      <c r="L754" s="3">
        <f>IF(Sales_Table[[#This Row],[Revenue]]=0,0,Sales_Table[[#This Row],[Revenue]]/Sales_Table[[#This Row],[Profit]])</f>
        <v>2.8700564971751414</v>
      </c>
    </row>
    <row r="755" spans="1:12" x14ac:dyDescent="0.5">
      <c r="A755" t="s">
        <v>786</v>
      </c>
      <c r="B755">
        <v>508</v>
      </c>
      <c r="C755">
        <v>177</v>
      </c>
      <c r="D755">
        <v>17</v>
      </c>
      <c r="E755" t="s">
        <v>36</v>
      </c>
      <c r="F755" t="s">
        <v>48</v>
      </c>
      <c r="G755" t="s">
        <v>12</v>
      </c>
      <c r="H755" s="1">
        <v>44141</v>
      </c>
      <c r="I755" t="s">
        <v>791</v>
      </c>
      <c r="J755" t="s">
        <v>14</v>
      </c>
      <c r="K755" t="s">
        <v>28</v>
      </c>
      <c r="L755" s="3">
        <f>IF(Sales_Table[[#This Row],[Revenue]]=0,0,Sales_Table[[#This Row],[Revenue]]/Sales_Table[[#This Row],[Profit]])</f>
        <v>2.8700564971751414</v>
      </c>
    </row>
    <row r="756" spans="1:12" x14ac:dyDescent="0.5">
      <c r="A756" t="s">
        <v>786</v>
      </c>
      <c r="B756">
        <v>508</v>
      </c>
      <c r="C756">
        <v>177</v>
      </c>
      <c r="D756">
        <v>17</v>
      </c>
      <c r="E756" t="s">
        <v>36</v>
      </c>
      <c r="F756" t="s">
        <v>48</v>
      </c>
      <c r="G756" t="s">
        <v>12</v>
      </c>
      <c r="H756" s="1">
        <v>45223</v>
      </c>
      <c r="I756" t="s">
        <v>792</v>
      </c>
      <c r="J756" t="s">
        <v>20</v>
      </c>
      <c r="K756" t="s">
        <v>56</v>
      </c>
      <c r="L756" s="3">
        <f>IF(Sales_Table[[#This Row],[Revenue]]=0,0,Sales_Table[[#This Row],[Revenue]]/Sales_Table[[#This Row],[Profit]])</f>
        <v>2.8700564971751414</v>
      </c>
    </row>
    <row r="757" spans="1:12" x14ac:dyDescent="0.5">
      <c r="A757" t="s">
        <v>793</v>
      </c>
      <c r="B757">
        <v>9382</v>
      </c>
      <c r="C757">
        <v>1085</v>
      </c>
      <c r="D757">
        <v>3</v>
      </c>
      <c r="E757" t="s">
        <v>10</v>
      </c>
      <c r="F757" t="s">
        <v>22</v>
      </c>
      <c r="G757" t="s">
        <v>26</v>
      </c>
      <c r="H757" s="1">
        <v>45125</v>
      </c>
      <c r="I757" t="s">
        <v>794</v>
      </c>
      <c r="J757" t="s">
        <v>17</v>
      </c>
      <c r="K757" t="s">
        <v>18</v>
      </c>
      <c r="L757" s="3">
        <f>IF(Sales_Table[[#This Row],[Revenue]]=0,0,Sales_Table[[#This Row],[Revenue]]/Sales_Table[[#This Row],[Profit]])</f>
        <v>8.6470046082949317</v>
      </c>
    </row>
    <row r="758" spans="1:12" x14ac:dyDescent="0.5">
      <c r="A758" t="s">
        <v>793</v>
      </c>
      <c r="B758">
        <v>9382</v>
      </c>
      <c r="C758">
        <v>1085</v>
      </c>
      <c r="D758">
        <v>3</v>
      </c>
      <c r="E758" t="s">
        <v>10</v>
      </c>
      <c r="F758" t="s">
        <v>22</v>
      </c>
      <c r="G758" t="s">
        <v>26</v>
      </c>
      <c r="H758" s="1">
        <v>44697</v>
      </c>
      <c r="I758" t="s">
        <v>795</v>
      </c>
      <c r="J758" t="s">
        <v>20</v>
      </c>
      <c r="K758" t="s">
        <v>56</v>
      </c>
      <c r="L758" s="3">
        <f>IF(Sales_Table[[#This Row],[Revenue]]=0,0,Sales_Table[[#This Row],[Revenue]]/Sales_Table[[#This Row],[Profit]])</f>
        <v>8.6470046082949317</v>
      </c>
    </row>
    <row r="759" spans="1:12" x14ac:dyDescent="0.5">
      <c r="A759" t="s">
        <v>793</v>
      </c>
      <c r="B759">
        <v>4936</v>
      </c>
      <c r="C759">
        <v>576</v>
      </c>
      <c r="D759">
        <v>19</v>
      </c>
      <c r="E759" t="s">
        <v>36</v>
      </c>
      <c r="F759" t="s">
        <v>37</v>
      </c>
      <c r="G759" t="s">
        <v>53</v>
      </c>
      <c r="H759" s="1">
        <v>45125</v>
      </c>
      <c r="I759" t="s">
        <v>794</v>
      </c>
      <c r="J759" t="s">
        <v>17</v>
      </c>
      <c r="K759" t="s">
        <v>18</v>
      </c>
      <c r="L759" s="3">
        <f>IF(Sales_Table[[#This Row],[Revenue]]=0,0,Sales_Table[[#This Row],[Revenue]]/Sales_Table[[#This Row],[Profit]])</f>
        <v>8.5694444444444446</v>
      </c>
    </row>
    <row r="760" spans="1:12" x14ac:dyDescent="0.5">
      <c r="A760" t="s">
        <v>793</v>
      </c>
      <c r="B760">
        <v>4936</v>
      </c>
      <c r="C760">
        <v>576</v>
      </c>
      <c r="D760">
        <v>19</v>
      </c>
      <c r="E760" t="s">
        <v>36</v>
      </c>
      <c r="F760" t="s">
        <v>37</v>
      </c>
      <c r="G760" t="s">
        <v>53</v>
      </c>
      <c r="H760" s="1">
        <v>44697</v>
      </c>
      <c r="I760" t="s">
        <v>795</v>
      </c>
      <c r="J760" t="s">
        <v>20</v>
      </c>
      <c r="K760" t="s">
        <v>56</v>
      </c>
      <c r="L760" s="3">
        <f>IF(Sales_Table[[#This Row],[Revenue]]=0,0,Sales_Table[[#This Row],[Revenue]]/Sales_Table[[#This Row],[Profit]])</f>
        <v>8.5694444444444446</v>
      </c>
    </row>
    <row r="761" spans="1:12" x14ac:dyDescent="0.5">
      <c r="A761" t="s">
        <v>796</v>
      </c>
      <c r="B761">
        <v>2663</v>
      </c>
      <c r="C761">
        <v>64</v>
      </c>
      <c r="D761">
        <v>19</v>
      </c>
      <c r="E761" t="s">
        <v>36</v>
      </c>
      <c r="F761" t="s">
        <v>48</v>
      </c>
      <c r="G761" t="s">
        <v>53</v>
      </c>
      <c r="H761" s="1">
        <v>45459</v>
      </c>
      <c r="I761" t="s">
        <v>797</v>
      </c>
      <c r="J761" t="s">
        <v>34</v>
      </c>
      <c r="K761" t="s">
        <v>75</v>
      </c>
      <c r="L761" s="3">
        <f>IF(Sales_Table[[#This Row],[Revenue]]=0,0,Sales_Table[[#This Row],[Revenue]]/Sales_Table[[#This Row],[Profit]])</f>
        <v>41.609375</v>
      </c>
    </row>
    <row r="762" spans="1:12" x14ac:dyDescent="0.5">
      <c r="A762" t="s">
        <v>796</v>
      </c>
      <c r="B762">
        <v>2663</v>
      </c>
      <c r="C762">
        <v>64</v>
      </c>
      <c r="D762">
        <v>19</v>
      </c>
      <c r="E762" t="s">
        <v>36</v>
      </c>
      <c r="F762" t="s">
        <v>48</v>
      </c>
      <c r="G762" t="s">
        <v>53</v>
      </c>
      <c r="H762" s="1">
        <v>44492</v>
      </c>
      <c r="I762" t="s">
        <v>798</v>
      </c>
      <c r="J762" t="s">
        <v>79</v>
      </c>
      <c r="K762" t="s">
        <v>94</v>
      </c>
      <c r="L762" s="3">
        <f>IF(Sales_Table[[#This Row],[Revenue]]=0,0,Sales_Table[[#This Row],[Revenue]]/Sales_Table[[#This Row],[Profit]])</f>
        <v>41.609375</v>
      </c>
    </row>
    <row r="763" spans="1:12" x14ac:dyDescent="0.5">
      <c r="A763" t="s">
        <v>799</v>
      </c>
      <c r="B763">
        <v>5151</v>
      </c>
      <c r="C763">
        <v>1680</v>
      </c>
      <c r="D763">
        <v>5</v>
      </c>
      <c r="E763" t="s">
        <v>10</v>
      </c>
      <c r="F763" t="s">
        <v>22</v>
      </c>
      <c r="G763" t="s">
        <v>32</v>
      </c>
      <c r="H763" s="1">
        <v>44856</v>
      </c>
      <c r="I763" t="s">
        <v>800</v>
      </c>
      <c r="J763" t="s">
        <v>59</v>
      </c>
      <c r="K763" t="s">
        <v>108</v>
      </c>
      <c r="L763" s="3">
        <f>IF(Sales_Table[[#This Row],[Revenue]]=0,0,Sales_Table[[#This Row],[Revenue]]/Sales_Table[[#This Row],[Profit]])</f>
        <v>3.0660714285714286</v>
      </c>
    </row>
    <row r="764" spans="1:12" x14ac:dyDescent="0.5">
      <c r="A764" t="s">
        <v>801</v>
      </c>
      <c r="B764">
        <v>2514</v>
      </c>
      <c r="C764">
        <v>95</v>
      </c>
      <c r="D764">
        <v>8</v>
      </c>
      <c r="E764" t="s">
        <v>24</v>
      </c>
      <c r="F764" t="s">
        <v>25</v>
      </c>
      <c r="G764" t="s">
        <v>12</v>
      </c>
      <c r="H764" s="1">
        <v>45124</v>
      </c>
      <c r="I764" t="s">
        <v>802</v>
      </c>
      <c r="J764" t="s">
        <v>20</v>
      </c>
      <c r="K764" t="s">
        <v>56</v>
      </c>
      <c r="L764" s="3">
        <f>IF(Sales_Table[[#This Row],[Revenue]]=0,0,Sales_Table[[#This Row],[Revenue]]/Sales_Table[[#This Row],[Profit]])</f>
        <v>26.463157894736842</v>
      </c>
    </row>
    <row r="765" spans="1:12" x14ac:dyDescent="0.5">
      <c r="A765" t="s">
        <v>803</v>
      </c>
      <c r="B765">
        <v>6129</v>
      </c>
      <c r="C765">
        <v>2976</v>
      </c>
      <c r="D765">
        <v>2</v>
      </c>
      <c r="E765" t="s">
        <v>10</v>
      </c>
      <c r="F765" t="s">
        <v>31</v>
      </c>
      <c r="G765" t="s">
        <v>32</v>
      </c>
      <c r="H765" s="1">
        <v>45712</v>
      </c>
      <c r="I765" t="s">
        <v>804</v>
      </c>
      <c r="J765" t="s">
        <v>20</v>
      </c>
      <c r="K765" t="s">
        <v>42</v>
      </c>
      <c r="L765" s="3">
        <f>IF(Sales_Table[[#This Row],[Revenue]]=0,0,Sales_Table[[#This Row],[Revenue]]/Sales_Table[[#This Row],[Profit]])</f>
        <v>2.059475806451613</v>
      </c>
    </row>
    <row r="766" spans="1:12" x14ac:dyDescent="0.5">
      <c r="A766" t="s">
        <v>803</v>
      </c>
      <c r="B766">
        <v>4395</v>
      </c>
      <c r="C766">
        <v>1663</v>
      </c>
      <c r="D766">
        <v>3</v>
      </c>
      <c r="E766" t="s">
        <v>36</v>
      </c>
      <c r="F766" t="s">
        <v>87</v>
      </c>
      <c r="G766" t="s">
        <v>53</v>
      </c>
      <c r="H766" s="1">
        <v>45712</v>
      </c>
      <c r="I766" t="s">
        <v>804</v>
      </c>
      <c r="J766" t="s">
        <v>20</v>
      </c>
      <c r="K766" t="s">
        <v>42</v>
      </c>
      <c r="L766" s="3">
        <f>IF(Sales_Table[[#This Row],[Revenue]]=0,0,Sales_Table[[#This Row],[Revenue]]/Sales_Table[[#This Row],[Profit]])</f>
        <v>2.6428141912206855</v>
      </c>
    </row>
    <row r="767" spans="1:12" x14ac:dyDescent="0.5">
      <c r="A767" t="s">
        <v>805</v>
      </c>
      <c r="B767">
        <v>5393</v>
      </c>
      <c r="C767">
        <v>2642</v>
      </c>
      <c r="D767">
        <v>8</v>
      </c>
      <c r="E767" t="s">
        <v>36</v>
      </c>
      <c r="F767" t="s">
        <v>40</v>
      </c>
      <c r="G767" t="s">
        <v>12</v>
      </c>
      <c r="H767" s="1">
        <v>44262</v>
      </c>
      <c r="I767" t="s">
        <v>806</v>
      </c>
      <c r="J767" t="s">
        <v>79</v>
      </c>
      <c r="K767" t="s">
        <v>86</v>
      </c>
      <c r="L767" s="3">
        <f>IF(Sales_Table[[#This Row],[Revenue]]=0,0,Sales_Table[[#This Row],[Revenue]]/Sales_Table[[#This Row],[Profit]])</f>
        <v>2.0412566237698715</v>
      </c>
    </row>
    <row r="768" spans="1:12" x14ac:dyDescent="0.5">
      <c r="A768" t="s">
        <v>807</v>
      </c>
      <c r="B768">
        <v>2280</v>
      </c>
      <c r="C768">
        <v>509</v>
      </c>
      <c r="D768">
        <v>8</v>
      </c>
      <c r="E768" t="s">
        <v>10</v>
      </c>
      <c r="F768" t="s">
        <v>67</v>
      </c>
      <c r="G768" t="s">
        <v>38</v>
      </c>
      <c r="H768" s="1">
        <v>44199</v>
      </c>
      <c r="I768" t="s">
        <v>808</v>
      </c>
      <c r="J768" t="s">
        <v>20</v>
      </c>
      <c r="K768" t="s">
        <v>21</v>
      </c>
      <c r="L768" s="3">
        <f>IF(Sales_Table[[#This Row],[Revenue]]=0,0,Sales_Table[[#This Row],[Revenue]]/Sales_Table[[#This Row],[Profit]])</f>
        <v>4.4793713163064837</v>
      </c>
    </row>
    <row r="769" spans="1:12" x14ac:dyDescent="0.5">
      <c r="A769" t="s">
        <v>809</v>
      </c>
      <c r="B769">
        <v>6596</v>
      </c>
      <c r="C769">
        <v>1439</v>
      </c>
      <c r="D769">
        <v>9</v>
      </c>
      <c r="E769" t="s">
        <v>24</v>
      </c>
      <c r="F769" t="s">
        <v>52</v>
      </c>
      <c r="G769" t="s">
        <v>26</v>
      </c>
      <c r="H769" s="1">
        <v>45049</v>
      </c>
      <c r="I769" t="s">
        <v>810</v>
      </c>
      <c r="J769" t="s">
        <v>79</v>
      </c>
      <c r="K769" t="s">
        <v>86</v>
      </c>
      <c r="L769" s="3">
        <f>IF(Sales_Table[[#This Row],[Revenue]]=0,0,Sales_Table[[#This Row],[Revenue]]/Sales_Table[[#This Row],[Profit]])</f>
        <v>4.5837387074357192</v>
      </c>
    </row>
    <row r="770" spans="1:12" x14ac:dyDescent="0.5">
      <c r="A770" t="s">
        <v>811</v>
      </c>
      <c r="B770">
        <v>4510</v>
      </c>
      <c r="C770">
        <v>1896</v>
      </c>
      <c r="D770">
        <v>5</v>
      </c>
      <c r="E770" t="s">
        <v>24</v>
      </c>
      <c r="F770" t="s">
        <v>52</v>
      </c>
      <c r="G770" t="s">
        <v>32</v>
      </c>
      <c r="H770" s="1">
        <v>45224</v>
      </c>
      <c r="I770" t="s">
        <v>812</v>
      </c>
      <c r="J770" t="s">
        <v>34</v>
      </c>
      <c r="K770" t="s">
        <v>35</v>
      </c>
      <c r="L770" s="3">
        <f>IF(Sales_Table[[#This Row],[Revenue]]=0,0,Sales_Table[[#This Row],[Revenue]]/Sales_Table[[#This Row],[Profit]])</f>
        <v>2.378691983122363</v>
      </c>
    </row>
    <row r="771" spans="1:12" x14ac:dyDescent="0.5">
      <c r="A771" t="s">
        <v>813</v>
      </c>
      <c r="B771">
        <v>6077</v>
      </c>
      <c r="C771">
        <v>2378</v>
      </c>
      <c r="D771">
        <v>18</v>
      </c>
      <c r="E771" t="s">
        <v>10</v>
      </c>
      <c r="F771" t="s">
        <v>67</v>
      </c>
      <c r="G771" t="s">
        <v>53</v>
      </c>
      <c r="H771" s="1">
        <v>44794</v>
      </c>
      <c r="I771" t="s">
        <v>814</v>
      </c>
      <c r="J771" t="s">
        <v>20</v>
      </c>
      <c r="K771" t="s">
        <v>42</v>
      </c>
      <c r="L771" s="3">
        <f>IF(Sales_Table[[#This Row],[Revenue]]=0,0,Sales_Table[[#This Row],[Revenue]]/Sales_Table[[#This Row],[Profit]])</f>
        <v>2.5555088309503784</v>
      </c>
    </row>
    <row r="772" spans="1:12" x14ac:dyDescent="0.5">
      <c r="A772" t="s">
        <v>815</v>
      </c>
      <c r="B772">
        <v>5379</v>
      </c>
      <c r="C772">
        <v>2510</v>
      </c>
      <c r="D772">
        <v>17</v>
      </c>
      <c r="E772" t="s">
        <v>10</v>
      </c>
      <c r="F772" t="s">
        <v>22</v>
      </c>
      <c r="G772" t="s">
        <v>53</v>
      </c>
      <c r="H772" s="1">
        <v>44667</v>
      </c>
      <c r="I772" t="s">
        <v>816</v>
      </c>
      <c r="J772" t="s">
        <v>79</v>
      </c>
      <c r="K772" t="s">
        <v>80</v>
      </c>
      <c r="L772" s="3">
        <f>IF(Sales_Table[[#This Row],[Revenue]]=0,0,Sales_Table[[#This Row],[Revenue]]/Sales_Table[[#This Row],[Profit]])</f>
        <v>2.1430278884462153</v>
      </c>
    </row>
    <row r="773" spans="1:12" x14ac:dyDescent="0.5">
      <c r="A773" t="s">
        <v>817</v>
      </c>
      <c r="B773">
        <v>4629</v>
      </c>
      <c r="C773">
        <v>1660</v>
      </c>
      <c r="D773">
        <v>16</v>
      </c>
      <c r="E773" t="s">
        <v>24</v>
      </c>
      <c r="F773" t="s">
        <v>46</v>
      </c>
      <c r="G773" t="s">
        <v>32</v>
      </c>
      <c r="H773" s="1">
        <v>45018</v>
      </c>
      <c r="I773" t="s">
        <v>818</v>
      </c>
      <c r="J773" t="s">
        <v>34</v>
      </c>
      <c r="K773" t="s">
        <v>62</v>
      </c>
      <c r="L773" s="3">
        <f>IF(Sales_Table[[#This Row],[Revenue]]=0,0,Sales_Table[[#This Row],[Revenue]]/Sales_Table[[#This Row],[Profit]])</f>
        <v>2.7885542168674697</v>
      </c>
    </row>
    <row r="774" spans="1:12" x14ac:dyDescent="0.5">
      <c r="A774" t="s">
        <v>819</v>
      </c>
      <c r="B774">
        <v>2710</v>
      </c>
      <c r="C774">
        <v>555</v>
      </c>
      <c r="D774">
        <v>20</v>
      </c>
      <c r="E774" t="s">
        <v>10</v>
      </c>
      <c r="F774" t="s">
        <v>31</v>
      </c>
      <c r="G774" t="s">
        <v>26</v>
      </c>
      <c r="H774" s="1">
        <v>45586</v>
      </c>
      <c r="I774" t="s">
        <v>820</v>
      </c>
      <c r="J774" t="s">
        <v>17</v>
      </c>
      <c r="K774" t="s">
        <v>18</v>
      </c>
      <c r="L774" s="3">
        <f>IF(Sales_Table[[#This Row],[Revenue]]=0,0,Sales_Table[[#This Row],[Revenue]]/Sales_Table[[#This Row],[Profit]])</f>
        <v>4.8828828828828827</v>
      </c>
    </row>
    <row r="775" spans="1:12" x14ac:dyDescent="0.5">
      <c r="A775" t="s">
        <v>819</v>
      </c>
      <c r="B775">
        <v>3224</v>
      </c>
      <c r="C775">
        <v>1018</v>
      </c>
      <c r="D775">
        <v>14</v>
      </c>
      <c r="E775" t="s">
        <v>24</v>
      </c>
      <c r="F775" t="s">
        <v>64</v>
      </c>
      <c r="G775" t="s">
        <v>12</v>
      </c>
      <c r="H775" s="1">
        <v>45586</v>
      </c>
      <c r="I775" t="s">
        <v>820</v>
      </c>
      <c r="J775" t="s">
        <v>17</v>
      </c>
      <c r="K775" t="s">
        <v>18</v>
      </c>
      <c r="L775" s="3">
        <f>IF(Sales_Table[[#This Row],[Revenue]]=0,0,Sales_Table[[#This Row],[Revenue]]/Sales_Table[[#This Row],[Profit]])</f>
        <v>3.1669941060903732</v>
      </c>
    </row>
    <row r="776" spans="1:12" x14ac:dyDescent="0.5">
      <c r="A776" t="s">
        <v>821</v>
      </c>
      <c r="B776">
        <v>8042</v>
      </c>
      <c r="C776">
        <v>936</v>
      </c>
      <c r="D776">
        <v>15</v>
      </c>
      <c r="E776" t="s">
        <v>24</v>
      </c>
      <c r="F776" t="s">
        <v>46</v>
      </c>
      <c r="G776" t="s">
        <v>32</v>
      </c>
      <c r="H776" s="1">
        <v>44386</v>
      </c>
      <c r="I776" t="s">
        <v>822</v>
      </c>
      <c r="J776" t="s">
        <v>17</v>
      </c>
      <c r="K776" t="s">
        <v>51</v>
      </c>
      <c r="L776" s="3">
        <f>IF(Sales_Table[[#This Row],[Revenue]]=0,0,Sales_Table[[#This Row],[Revenue]]/Sales_Table[[#This Row],[Profit]])</f>
        <v>8.5918803418803424</v>
      </c>
    </row>
    <row r="777" spans="1:12" x14ac:dyDescent="0.5">
      <c r="A777" t="s">
        <v>821</v>
      </c>
      <c r="B777">
        <v>8042</v>
      </c>
      <c r="C777">
        <v>936</v>
      </c>
      <c r="D777">
        <v>15</v>
      </c>
      <c r="E777" t="s">
        <v>24</v>
      </c>
      <c r="F777" t="s">
        <v>46</v>
      </c>
      <c r="G777" t="s">
        <v>32</v>
      </c>
      <c r="H777" s="1">
        <v>44659</v>
      </c>
      <c r="I777" t="s">
        <v>823</v>
      </c>
      <c r="J777" t="s">
        <v>34</v>
      </c>
      <c r="K777" t="s">
        <v>35</v>
      </c>
      <c r="L777" s="3">
        <f>IF(Sales_Table[[#This Row],[Revenue]]=0,0,Sales_Table[[#This Row],[Revenue]]/Sales_Table[[#This Row],[Profit]])</f>
        <v>8.5918803418803424</v>
      </c>
    </row>
    <row r="778" spans="1:12" x14ac:dyDescent="0.5">
      <c r="A778" t="s">
        <v>824</v>
      </c>
      <c r="B778">
        <v>3957</v>
      </c>
      <c r="C778">
        <v>151</v>
      </c>
      <c r="D778">
        <v>10</v>
      </c>
      <c r="E778" t="s">
        <v>24</v>
      </c>
      <c r="F778" t="s">
        <v>64</v>
      </c>
      <c r="G778" t="s">
        <v>32</v>
      </c>
      <c r="H778" s="1">
        <v>44681</v>
      </c>
      <c r="I778" t="s">
        <v>825</v>
      </c>
      <c r="J778" t="s">
        <v>59</v>
      </c>
      <c r="K778" t="s">
        <v>71</v>
      </c>
      <c r="L778" s="3">
        <f>IF(Sales_Table[[#This Row],[Revenue]]=0,0,Sales_Table[[#This Row],[Revenue]]/Sales_Table[[#This Row],[Profit]])</f>
        <v>26.205298013245034</v>
      </c>
    </row>
    <row r="779" spans="1:12" x14ac:dyDescent="0.5">
      <c r="A779" t="s">
        <v>826</v>
      </c>
      <c r="B779">
        <v>8769</v>
      </c>
      <c r="C779">
        <v>3178</v>
      </c>
      <c r="D779">
        <v>16</v>
      </c>
      <c r="E779" t="s">
        <v>24</v>
      </c>
      <c r="F779" t="s">
        <v>46</v>
      </c>
      <c r="G779" t="s">
        <v>26</v>
      </c>
      <c r="H779" s="1">
        <v>44946</v>
      </c>
      <c r="I779" t="s">
        <v>827</v>
      </c>
      <c r="J779" t="s">
        <v>17</v>
      </c>
      <c r="K779" t="s">
        <v>18</v>
      </c>
      <c r="L779" s="3">
        <f>IF(Sales_Table[[#This Row],[Revenue]]=0,0,Sales_Table[[#This Row],[Revenue]]/Sales_Table[[#This Row],[Profit]])</f>
        <v>2.7592825676526118</v>
      </c>
    </row>
    <row r="780" spans="1:12" x14ac:dyDescent="0.5">
      <c r="A780" t="s">
        <v>828</v>
      </c>
      <c r="B780">
        <v>2957</v>
      </c>
      <c r="C780">
        <v>917</v>
      </c>
      <c r="D780">
        <v>16</v>
      </c>
      <c r="E780" t="s">
        <v>24</v>
      </c>
      <c r="F780" t="s">
        <v>25</v>
      </c>
      <c r="G780" t="s">
        <v>26</v>
      </c>
      <c r="H780" s="1">
        <v>45613</v>
      </c>
      <c r="I780" t="s">
        <v>829</v>
      </c>
      <c r="J780" t="s">
        <v>17</v>
      </c>
      <c r="K780" t="s">
        <v>18</v>
      </c>
      <c r="L780" s="3">
        <f>IF(Sales_Table[[#This Row],[Revenue]]=0,0,Sales_Table[[#This Row],[Revenue]]/Sales_Table[[#This Row],[Profit]])</f>
        <v>3.2246455834242096</v>
      </c>
    </row>
    <row r="781" spans="1:12" x14ac:dyDescent="0.5">
      <c r="A781" t="s">
        <v>830</v>
      </c>
      <c r="B781">
        <v>5344</v>
      </c>
      <c r="C781">
        <v>2607</v>
      </c>
      <c r="D781">
        <v>6</v>
      </c>
      <c r="E781" t="s">
        <v>24</v>
      </c>
      <c r="F781" t="s">
        <v>52</v>
      </c>
      <c r="G781" t="s">
        <v>26</v>
      </c>
      <c r="H781" s="1">
        <v>44674</v>
      </c>
      <c r="I781" t="s">
        <v>831</v>
      </c>
      <c r="J781" t="s">
        <v>59</v>
      </c>
      <c r="K781" t="s">
        <v>60</v>
      </c>
      <c r="L781" s="3">
        <f>IF(Sales_Table[[#This Row],[Revenue]]=0,0,Sales_Table[[#This Row],[Revenue]]/Sales_Table[[#This Row],[Profit]])</f>
        <v>2.0498657460682779</v>
      </c>
    </row>
    <row r="782" spans="1:12" x14ac:dyDescent="0.5">
      <c r="A782" t="s">
        <v>830</v>
      </c>
      <c r="B782">
        <v>5344</v>
      </c>
      <c r="C782">
        <v>2607</v>
      </c>
      <c r="D782">
        <v>6</v>
      </c>
      <c r="E782" t="s">
        <v>24</v>
      </c>
      <c r="F782" t="s">
        <v>52</v>
      </c>
      <c r="G782" t="s">
        <v>26</v>
      </c>
      <c r="H782" s="1">
        <v>45706</v>
      </c>
      <c r="I782" t="s">
        <v>832</v>
      </c>
      <c r="J782" t="s">
        <v>20</v>
      </c>
      <c r="K782" t="s">
        <v>56</v>
      </c>
      <c r="L782" s="3">
        <f>IF(Sales_Table[[#This Row],[Revenue]]=0,0,Sales_Table[[#This Row],[Revenue]]/Sales_Table[[#This Row],[Profit]])</f>
        <v>2.0498657460682779</v>
      </c>
    </row>
    <row r="783" spans="1:12" x14ac:dyDescent="0.5">
      <c r="A783" t="s">
        <v>833</v>
      </c>
      <c r="B783">
        <v>6061</v>
      </c>
      <c r="C783">
        <v>2121</v>
      </c>
      <c r="D783">
        <v>19</v>
      </c>
      <c r="E783" t="s">
        <v>10</v>
      </c>
      <c r="F783" t="s">
        <v>31</v>
      </c>
      <c r="G783" t="s">
        <v>32</v>
      </c>
      <c r="H783" s="1">
        <v>44343</v>
      </c>
      <c r="I783" t="s">
        <v>834</v>
      </c>
      <c r="J783" t="s">
        <v>79</v>
      </c>
      <c r="K783" t="s">
        <v>94</v>
      </c>
      <c r="L783" s="3">
        <f>IF(Sales_Table[[#This Row],[Revenue]]=0,0,Sales_Table[[#This Row],[Revenue]]/Sales_Table[[#This Row],[Profit]])</f>
        <v>2.8576143328618575</v>
      </c>
    </row>
    <row r="784" spans="1:12" x14ac:dyDescent="0.5">
      <c r="A784" t="s">
        <v>833</v>
      </c>
      <c r="B784">
        <v>6061</v>
      </c>
      <c r="C784">
        <v>2121</v>
      </c>
      <c r="D784">
        <v>19</v>
      </c>
      <c r="E784" t="s">
        <v>10</v>
      </c>
      <c r="F784" t="s">
        <v>31</v>
      </c>
      <c r="G784" t="s">
        <v>32</v>
      </c>
      <c r="H784" s="1">
        <v>44578</v>
      </c>
      <c r="I784" t="s">
        <v>835</v>
      </c>
      <c r="J784" t="s">
        <v>34</v>
      </c>
      <c r="K784" t="s">
        <v>62</v>
      </c>
      <c r="L784" s="3">
        <f>IF(Sales_Table[[#This Row],[Revenue]]=0,0,Sales_Table[[#This Row],[Revenue]]/Sales_Table[[#This Row],[Profit]])</f>
        <v>2.8576143328618575</v>
      </c>
    </row>
    <row r="785" spans="1:12" x14ac:dyDescent="0.5">
      <c r="A785" t="s">
        <v>836</v>
      </c>
      <c r="B785">
        <v>5376</v>
      </c>
      <c r="C785">
        <v>1928</v>
      </c>
      <c r="D785">
        <v>7</v>
      </c>
      <c r="E785" t="s">
        <v>36</v>
      </c>
      <c r="F785" t="s">
        <v>37</v>
      </c>
      <c r="G785" t="s">
        <v>38</v>
      </c>
      <c r="H785" s="1">
        <v>45672</v>
      </c>
      <c r="I785" t="s">
        <v>837</v>
      </c>
      <c r="J785" t="s">
        <v>20</v>
      </c>
      <c r="K785" t="s">
        <v>42</v>
      </c>
      <c r="L785" s="3">
        <f>IF(Sales_Table[[#This Row],[Revenue]]=0,0,Sales_Table[[#This Row],[Revenue]]/Sales_Table[[#This Row],[Profit]])</f>
        <v>2.7883817427385891</v>
      </c>
    </row>
    <row r="786" spans="1:12" x14ac:dyDescent="0.5">
      <c r="A786" t="s">
        <v>838</v>
      </c>
      <c r="B786">
        <v>2792</v>
      </c>
      <c r="C786">
        <v>1008</v>
      </c>
      <c r="D786">
        <v>8</v>
      </c>
      <c r="E786" t="s">
        <v>10</v>
      </c>
      <c r="F786" t="s">
        <v>22</v>
      </c>
      <c r="G786" t="s">
        <v>53</v>
      </c>
      <c r="H786" s="1">
        <v>44241</v>
      </c>
      <c r="I786" t="s">
        <v>839</v>
      </c>
      <c r="J786" t="s">
        <v>14</v>
      </c>
      <c r="K786" t="s">
        <v>15</v>
      </c>
      <c r="L786" s="3">
        <f>IF(Sales_Table[[#This Row],[Revenue]]=0,0,Sales_Table[[#This Row],[Revenue]]/Sales_Table[[#This Row],[Profit]])</f>
        <v>2.7698412698412698</v>
      </c>
    </row>
    <row r="787" spans="1:12" x14ac:dyDescent="0.5">
      <c r="A787" t="s">
        <v>840</v>
      </c>
      <c r="B787">
        <v>2944</v>
      </c>
      <c r="C787">
        <v>249</v>
      </c>
      <c r="D787">
        <v>5</v>
      </c>
      <c r="E787" t="s">
        <v>24</v>
      </c>
      <c r="F787" t="s">
        <v>64</v>
      </c>
      <c r="G787" t="s">
        <v>38</v>
      </c>
      <c r="H787" s="1">
        <v>45535</v>
      </c>
      <c r="I787" t="s">
        <v>841</v>
      </c>
      <c r="J787" t="s">
        <v>79</v>
      </c>
      <c r="K787" t="s">
        <v>80</v>
      </c>
      <c r="L787" s="3">
        <f>IF(Sales_Table[[#This Row],[Revenue]]=0,0,Sales_Table[[#This Row],[Revenue]]/Sales_Table[[#This Row],[Profit]])</f>
        <v>11.823293172690763</v>
      </c>
    </row>
    <row r="788" spans="1:12" x14ac:dyDescent="0.5">
      <c r="A788" t="s">
        <v>840</v>
      </c>
      <c r="B788">
        <v>2944</v>
      </c>
      <c r="C788">
        <v>249</v>
      </c>
      <c r="D788">
        <v>5</v>
      </c>
      <c r="E788" t="s">
        <v>24</v>
      </c>
      <c r="F788" t="s">
        <v>64</v>
      </c>
      <c r="G788" t="s">
        <v>38</v>
      </c>
      <c r="H788" s="1">
        <v>44921</v>
      </c>
      <c r="I788" t="s">
        <v>842</v>
      </c>
      <c r="J788" t="s">
        <v>59</v>
      </c>
      <c r="K788" t="s">
        <v>60</v>
      </c>
      <c r="L788" s="3">
        <f>IF(Sales_Table[[#This Row],[Revenue]]=0,0,Sales_Table[[#This Row],[Revenue]]/Sales_Table[[#This Row],[Profit]])</f>
        <v>11.823293172690763</v>
      </c>
    </row>
    <row r="789" spans="1:12" x14ac:dyDescent="0.5">
      <c r="A789" t="s">
        <v>843</v>
      </c>
      <c r="B789">
        <v>4220</v>
      </c>
      <c r="C789">
        <v>945</v>
      </c>
      <c r="D789">
        <v>13</v>
      </c>
      <c r="E789" t="s">
        <v>24</v>
      </c>
      <c r="F789" t="s">
        <v>46</v>
      </c>
      <c r="G789" t="s">
        <v>32</v>
      </c>
      <c r="H789" s="1">
        <v>45372</v>
      </c>
      <c r="I789" t="s">
        <v>844</v>
      </c>
      <c r="J789" t="s">
        <v>17</v>
      </c>
      <c r="K789" t="s">
        <v>51</v>
      </c>
      <c r="L789" s="3">
        <f>IF(Sales_Table[[#This Row],[Revenue]]=0,0,Sales_Table[[#This Row],[Revenue]]/Sales_Table[[#This Row],[Profit]])</f>
        <v>4.465608465608466</v>
      </c>
    </row>
    <row r="790" spans="1:12" x14ac:dyDescent="0.5">
      <c r="A790" t="s">
        <v>843</v>
      </c>
      <c r="B790">
        <v>4220</v>
      </c>
      <c r="C790">
        <v>945</v>
      </c>
      <c r="D790">
        <v>13</v>
      </c>
      <c r="E790" t="s">
        <v>24</v>
      </c>
      <c r="F790" t="s">
        <v>46</v>
      </c>
      <c r="G790" t="s">
        <v>32</v>
      </c>
      <c r="H790" s="1">
        <v>44180</v>
      </c>
      <c r="I790" t="s">
        <v>845</v>
      </c>
      <c r="J790" t="s">
        <v>17</v>
      </c>
      <c r="K790" t="s">
        <v>134</v>
      </c>
      <c r="L790" s="3">
        <f>IF(Sales_Table[[#This Row],[Revenue]]=0,0,Sales_Table[[#This Row],[Revenue]]/Sales_Table[[#This Row],[Profit]])</f>
        <v>4.465608465608466</v>
      </c>
    </row>
    <row r="791" spans="1:12" x14ac:dyDescent="0.5">
      <c r="A791" t="s">
        <v>846</v>
      </c>
      <c r="B791">
        <v>8526</v>
      </c>
      <c r="C791">
        <v>1704</v>
      </c>
      <c r="D791">
        <v>4</v>
      </c>
      <c r="E791" t="s">
        <v>24</v>
      </c>
      <c r="F791" t="s">
        <v>64</v>
      </c>
      <c r="G791" t="s">
        <v>26</v>
      </c>
      <c r="H791" s="1">
        <v>45006</v>
      </c>
      <c r="I791" t="s">
        <v>847</v>
      </c>
      <c r="J791" t="s">
        <v>59</v>
      </c>
      <c r="K791" t="s">
        <v>71</v>
      </c>
      <c r="L791" s="3">
        <f>IF(Sales_Table[[#This Row],[Revenue]]=0,0,Sales_Table[[#This Row],[Revenue]]/Sales_Table[[#This Row],[Profit]])</f>
        <v>5.003521126760563</v>
      </c>
    </row>
    <row r="792" spans="1:12" x14ac:dyDescent="0.5">
      <c r="A792" t="s">
        <v>848</v>
      </c>
      <c r="B792">
        <v>8218</v>
      </c>
      <c r="C792">
        <v>1430</v>
      </c>
      <c r="D792">
        <v>19</v>
      </c>
      <c r="E792" t="s">
        <v>36</v>
      </c>
      <c r="F792" t="s">
        <v>87</v>
      </c>
      <c r="G792" t="s">
        <v>38</v>
      </c>
      <c r="H792" s="1">
        <v>45085</v>
      </c>
      <c r="I792" t="s">
        <v>849</v>
      </c>
      <c r="J792" t="s">
        <v>34</v>
      </c>
      <c r="K792" t="s">
        <v>75</v>
      </c>
      <c r="L792" s="3">
        <f>IF(Sales_Table[[#This Row],[Revenue]]=0,0,Sales_Table[[#This Row],[Revenue]]/Sales_Table[[#This Row],[Profit]])</f>
        <v>5.7468531468531472</v>
      </c>
    </row>
    <row r="793" spans="1:12" x14ac:dyDescent="0.5">
      <c r="A793" t="s">
        <v>850</v>
      </c>
      <c r="B793">
        <v>599</v>
      </c>
      <c r="C793">
        <v>265</v>
      </c>
      <c r="D793">
        <v>4</v>
      </c>
      <c r="E793" t="s">
        <v>10</v>
      </c>
      <c r="F793" t="s">
        <v>67</v>
      </c>
      <c r="G793" t="s">
        <v>38</v>
      </c>
      <c r="H793" s="1">
        <v>44759</v>
      </c>
      <c r="I793" t="s">
        <v>851</v>
      </c>
      <c r="J793" t="s">
        <v>20</v>
      </c>
      <c r="K793" t="s">
        <v>21</v>
      </c>
      <c r="L793" s="3">
        <f>IF(Sales_Table[[#This Row],[Revenue]]=0,0,Sales_Table[[#This Row],[Revenue]]/Sales_Table[[#This Row],[Profit]])</f>
        <v>2.2603773584905662</v>
      </c>
    </row>
    <row r="794" spans="1:12" x14ac:dyDescent="0.5">
      <c r="A794" t="s">
        <v>850</v>
      </c>
      <c r="B794">
        <v>599</v>
      </c>
      <c r="C794">
        <v>265</v>
      </c>
      <c r="D794">
        <v>4</v>
      </c>
      <c r="E794" t="s">
        <v>10</v>
      </c>
      <c r="F794" t="s">
        <v>67</v>
      </c>
      <c r="G794" t="s">
        <v>38</v>
      </c>
      <c r="H794" s="1">
        <v>45631</v>
      </c>
      <c r="I794" t="s">
        <v>852</v>
      </c>
      <c r="J794" t="s">
        <v>20</v>
      </c>
      <c r="K794" t="s">
        <v>56</v>
      </c>
      <c r="L794" s="3">
        <f>IF(Sales_Table[[#This Row],[Revenue]]=0,0,Sales_Table[[#This Row],[Revenue]]/Sales_Table[[#This Row],[Profit]])</f>
        <v>2.2603773584905662</v>
      </c>
    </row>
    <row r="795" spans="1:12" x14ac:dyDescent="0.5">
      <c r="A795" t="s">
        <v>850</v>
      </c>
      <c r="B795">
        <v>2727</v>
      </c>
      <c r="C795">
        <v>543</v>
      </c>
      <c r="D795">
        <v>10</v>
      </c>
      <c r="E795" t="s">
        <v>36</v>
      </c>
      <c r="F795" t="s">
        <v>87</v>
      </c>
      <c r="G795" t="s">
        <v>38</v>
      </c>
      <c r="H795" s="1">
        <v>44759</v>
      </c>
      <c r="I795" t="s">
        <v>851</v>
      </c>
      <c r="J795" t="s">
        <v>20</v>
      </c>
      <c r="K795" t="s">
        <v>21</v>
      </c>
      <c r="L795" s="3">
        <f>IF(Sales_Table[[#This Row],[Revenue]]=0,0,Sales_Table[[#This Row],[Revenue]]/Sales_Table[[#This Row],[Profit]])</f>
        <v>5.0220994475138125</v>
      </c>
    </row>
    <row r="796" spans="1:12" x14ac:dyDescent="0.5">
      <c r="A796" t="s">
        <v>850</v>
      </c>
      <c r="B796">
        <v>2727</v>
      </c>
      <c r="C796">
        <v>543</v>
      </c>
      <c r="D796">
        <v>10</v>
      </c>
      <c r="E796" t="s">
        <v>36</v>
      </c>
      <c r="F796" t="s">
        <v>87</v>
      </c>
      <c r="G796" t="s">
        <v>38</v>
      </c>
      <c r="H796" s="1">
        <v>45631</v>
      </c>
      <c r="I796" t="s">
        <v>852</v>
      </c>
      <c r="J796" t="s">
        <v>20</v>
      </c>
      <c r="K796" t="s">
        <v>56</v>
      </c>
      <c r="L796" s="3">
        <f>IF(Sales_Table[[#This Row],[Revenue]]=0,0,Sales_Table[[#This Row],[Revenue]]/Sales_Table[[#This Row],[Profit]])</f>
        <v>5.0220994475138125</v>
      </c>
    </row>
    <row r="797" spans="1:12" x14ac:dyDescent="0.5">
      <c r="A797" t="s">
        <v>853</v>
      </c>
      <c r="B797">
        <v>2589</v>
      </c>
      <c r="C797">
        <v>605</v>
      </c>
      <c r="D797">
        <v>11</v>
      </c>
      <c r="E797" t="s">
        <v>24</v>
      </c>
      <c r="F797" t="s">
        <v>25</v>
      </c>
      <c r="G797" t="s">
        <v>32</v>
      </c>
      <c r="H797" s="1">
        <v>45232</v>
      </c>
      <c r="I797" t="s">
        <v>854</v>
      </c>
      <c r="J797" t="s">
        <v>34</v>
      </c>
      <c r="K797" t="s">
        <v>75</v>
      </c>
      <c r="L797" s="3">
        <f>IF(Sales_Table[[#This Row],[Revenue]]=0,0,Sales_Table[[#This Row],[Revenue]]/Sales_Table[[#This Row],[Profit]])</f>
        <v>4.2793388429752062</v>
      </c>
    </row>
    <row r="798" spans="1:12" x14ac:dyDescent="0.5">
      <c r="A798" t="s">
        <v>853</v>
      </c>
      <c r="B798">
        <v>2589</v>
      </c>
      <c r="C798">
        <v>605</v>
      </c>
      <c r="D798">
        <v>11</v>
      </c>
      <c r="E798" t="s">
        <v>24</v>
      </c>
      <c r="F798" t="s">
        <v>25</v>
      </c>
      <c r="G798" t="s">
        <v>32</v>
      </c>
      <c r="H798" s="1">
        <v>45570</v>
      </c>
      <c r="I798" t="s">
        <v>855</v>
      </c>
      <c r="J798" t="s">
        <v>79</v>
      </c>
      <c r="K798" t="s">
        <v>94</v>
      </c>
      <c r="L798" s="3">
        <f>IF(Sales_Table[[#This Row],[Revenue]]=0,0,Sales_Table[[#This Row],[Revenue]]/Sales_Table[[#This Row],[Profit]])</f>
        <v>4.2793388429752062</v>
      </c>
    </row>
    <row r="799" spans="1:12" x14ac:dyDescent="0.5">
      <c r="A799" t="s">
        <v>856</v>
      </c>
      <c r="B799">
        <v>3776</v>
      </c>
      <c r="C799">
        <v>1100</v>
      </c>
      <c r="D799">
        <v>9</v>
      </c>
      <c r="E799" t="s">
        <v>10</v>
      </c>
      <c r="F799" t="s">
        <v>11</v>
      </c>
      <c r="G799" t="s">
        <v>32</v>
      </c>
      <c r="H799" s="1">
        <v>44878</v>
      </c>
      <c r="I799" t="s">
        <v>857</v>
      </c>
      <c r="J799" t="s">
        <v>59</v>
      </c>
      <c r="K799" t="s">
        <v>71</v>
      </c>
      <c r="L799" s="3">
        <f>IF(Sales_Table[[#This Row],[Revenue]]=0,0,Sales_Table[[#This Row],[Revenue]]/Sales_Table[[#This Row],[Profit]])</f>
        <v>3.4327272727272726</v>
      </c>
    </row>
    <row r="800" spans="1:12" x14ac:dyDescent="0.5">
      <c r="A800" t="s">
        <v>856</v>
      </c>
      <c r="B800">
        <v>3776</v>
      </c>
      <c r="C800">
        <v>1100</v>
      </c>
      <c r="D800">
        <v>9</v>
      </c>
      <c r="E800" t="s">
        <v>10</v>
      </c>
      <c r="F800" t="s">
        <v>11</v>
      </c>
      <c r="G800" t="s">
        <v>32</v>
      </c>
      <c r="H800" s="1">
        <v>44923</v>
      </c>
      <c r="I800" t="s">
        <v>858</v>
      </c>
      <c r="J800" t="s">
        <v>17</v>
      </c>
      <c r="K800" t="s">
        <v>134</v>
      </c>
      <c r="L800" s="3">
        <f>IF(Sales_Table[[#This Row],[Revenue]]=0,0,Sales_Table[[#This Row],[Revenue]]/Sales_Table[[#This Row],[Profit]])</f>
        <v>3.4327272727272726</v>
      </c>
    </row>
    <row r="801" spans="1:12" x14ac:dyDescent="0.5">
      <c r="A801" t="s">
        <v>859</v>
      </c>
      <c r="B801">
        <v>5402</v>
      </c>
      <c r="C801">
        <v>1666</v>
      </c>
      <c r="D801">
        <v>12</v>
      </c>
      <c r="E801" t="s">
        <v>36</v>
      </c>
      <c r="F801" t="s">
        <v>87</v>
      </c>
      <c r="G801" t="s">
        <v>32</v>
      </c>
      <c r="H801" s="1">
        <v>45714</v>
      </c>
      <c r="I801" t="s">
        <v>860</v>
      </c>
      <c r="J801" t="s">
        <v>79</v>
      </c>
      <c r="K801" t="s">
        <v>94</v>
      </c>
      <c r="L801" s="3">
        <f>IF(Sales_Table[[#This Row],[Revenue]]=0,0,Sales_Table[[#This Row],[Revenue]]/Sales_Table[[#This Row],[Profit]])</f>
        <v>3.24249699879952</v>
      </c>
    </row>
    <row r="802" spans="1:12" x14ac:dyDescent="0.5">
      <c r="A802" t="s">
        <v>861</v>
      </c>
      <c r="B802">
        <v>5165</v>
      </c>
      <c r="C802">
        <v>885</v>
      </c>
      <c r="D802">
        <v>16</v>
      </c>
      <c r="E802" t="s">
        <v>24</v>
      </c>
      <c r="F802" t="s">
        <v>25</v>
      </c>
      <c r="G802" t="s">
        <v>32</v>
      </c>
      <c r="H802" s="1">
        <v>44877</v>
      </c>
      <c r="I802" t="s">
        <v>862</v>
      </c>
      <c r="J802" t="s">
        <v>17</v>
      </c>
      <c r="K802" t="s">
        <v>134</v>
      </c>
      <c r="L802" s="3">
        <f>IF(Sales_Table[[#This Row],[Revenue]]=0,0,Sales_Table[[#This Row],[Revenue]]/Sales_Table[[#This Row],[Profit]])</f>
        <v>5.8361581920903953</v>
      </c>
    </row>
    <row r="803" spans="1:12" x14ac:dyDescent="0.5">
      <c r="A803" t="s">
        <v>861</v>
      </c>
      <c r="B803">
        <v>4863</v>
      </c>
      <c r="C803">
        <v>2394</v>
      </c>
      <c r="D803">
        <v>4</v>
      </c>
      <c r="E803" t="s">
        <v>36</v>
      </c>
      <c r="F803" t="s">
        <v>87</v>
      </c>
      <c r="G803" t="s">
        <v>32</v>
      </c>
      <c r="H803" s="1">
        <v>44877</v>
      </c>
      <c r="I803" t="s">
        <v>862</v>
      </c>
      <c r="J803" t="s">
        <v>17</v>
      </c>
      <c r="K803" t="s">
        <v>134</v>
      </c>
      <c r="L803" s="3">
        <f>IF(Sales_Table[[#This Row],[Revenue]]=0,0,Sales_Table[[#This Row],[Revenue]]/Sales_Table[[#This Row],[Profit]])</f>
        <v>2.0313283208020052</v>
      </c>
    </row>
    <row r="804" spans="1:12" x14ac:dyDescent="0.5">
      <c r="A804" t="s">
        <v>863</v>
      </c>
      <c r="B804">
        <v>1626</v>
      </c>
      <c r="C804">
        <v>258</v>
      </c>
      <c r="D804">
        <v>15</v>
      </c>
      <c r="E804" t="s">
        <v>24</v>
      </c>
      <c r="F804" t="s">
        <v>25</v>
      </c>
      <c r="G804" t="s">
        <v>32</v>
      </c>
      <c r="H804" s="1">
        <v>44354</v>
      </c>
      <c r="I804" t="s">
        <v>864</v>
      </c>
      <c r="J804" t="s">
        <v>14</v>
      </c>
      <c r="K804" t="s">
        <v>28</v>
      </c>
      <c r="L804" s="3">
        <f>IF(Sales_Table[[#This Row],[Revenue]]=0,0,Sales_Table[[#This Row],[Revenue]]/Sales_Table[[#This Row],[Profit]])</f>
        <v>6.3023255813953485</v>
      </c>
    </row>
    <row r="805" spans="1:12" x14ac:dyDescent="0.5">
      <c r="A805" t="s">
        <v>865</v>
      </c>
      <c r="B805">
        <v>8851</v>
      </c>
      <c r="C805">
        <v>3962</v>
      </c>
      <c r="D805">
        <v>7</v>
      </c>
      <c r="E805" t="s">
        <v>36</v>
      </c>
      <c r="F805" t="s">
        <v>37</v>
      </c>
      <c r="G805" t="s">
        <v>32</v>
      </c>
      <c r="H805" s="1">
        <v>44100</v>
      </c>
      <c r="I805" t="s">
        <v>866</v>
      </c>
      <c r="J805" t="s">
        <v>14</v>
      </c>
      <c r="K805" t="s">
        <v>15</v>
      </c>
      <c r="L805" s="3">
        <f>IF(Sales_Table[[#This Row],[Revenue]]=0,0,Sales_Table[[#This Row],[Revenue]]/Sales_Table[[#This Row],[Profit]])</f>
        <v>2.2339727410398789</v>
      </c>
    </row>
    <row r="806" spans="1:12" x14ac:dyDescent="0.5">
      <c r="A806" t="s">
        <v>867</v>
      </c>
      <c r="B806">
        <v>9680</v>
      </c>
      <c r="C806">
        <v>3295</v>
      </c>
      <c r="D806">
        <v>9</v>
      </c>
      <c r="E806" t="s">
        <v>36</v>
      </c>
      <c r="F806" t="s">
        <v>37</v>
      </c>
      <c r="G806" t="s">
        <v>53</v>
      </c>
      <c r="H806" s="1">
        <v>45411</v>
      </c>
      <c r="I806" t="s">
        <v>868</v>
      </c>
      <c r="J806" t="s">
        <v>20</v>
      </c>
      <c r="K806" t="s">
        <v>56</v>
      </c>
      <c r="L806" s="3">
        <f>IF(Sales_Table[[#This Row],[Revenue]]=0,0,Sales_Table[[#This Row],[Revenue]]/Sales_Table[[#This Row],[Profit]])</f>
        <v>2.9377845220030347</v>
      </c>
    </row>
    <row r="807" spans="1:12" x14ac:dyDescent="0.5">
      <c r="A807" t="s">
        <v>867</v>
      </c>
      <c r="B807">
        <v>8468</v>
      </c>
      <c r="C807">
        <v>3666</v>
      </c>
      <c r="D807">
        <v>8</v>
      </c>
      <c r="E807" t="s">
        <v>24</v>
      </c>
      <c r="F807" t="s">
        <v>25</v>
      </c>
      <c r="G807" t="s">
        <v>12</v>
      </c>
      <c r="H807" s="1">
        <v>45411</v>
      </c>
      <c r="I807" t="s">
        <v>868</v>
      </c>
      <c r="J807" t="s">
        <v>20</v>
      </c>
      <c r="K807" t="s">
        <v>56</v>
      </c>
      <c r="L807" s="3">
        <f>IF(Sales_Table[[#This Row],[Revenue]]=0,0,Sales_Table[[#This Row],[Revenue]]/Sales_Table[[#This Row],[Profit]])</f>
        <v>2.30987452264048</v>
      </c>
    </row>
    <row r="808" spans="1:12" x14ac:dyDescent="0.5">
      <c r="A808" t="s">
        <v>867</v>
      </c>
      <c r="B808">
        <v>4441</v>
      </c>
      <c r="C808">
        <v>314</v>
      </c>
      <c r="D808">
        <v>14</v>
      </c>
      <c r="E808" t="s">
        <v>36</v>
      </c>
      <c r="F808" t="s">
        <v>40</v>
      </c>
      <c r="G808" t="s">
        <v>26</v>
      </c>
      <c r="H808" s="1">
        <v>45411</v>
      </c>
      <c r="I808" t="s">
        <v>868</v>
      </c>
      <c r="J808" t="s">
        <v>20</v>
      </c>
      <c r="K808" t="s">
        <v>56</v>
      </c>
      <c r="L808" s="3">
        <f>IF(Sales_Table[[#This Row],[Revenue]]=0,0,Sales_Table[[#This Row],[Revenue]]/Sales_Table[[#This Row],[Profit]])</f>
        <v>14.143312101910828</v>
      </c>
    </row>
    <row r="809" spans="1:12" x14ac:dyDescent="0.5">
      <c r="A809" t="s">
        <v>869</v>
      </c>
      <c r="B809">
        <v>6622</v>
      </c>
      <c r="C809">
        <v>2673</v>
      </c>
      <c r="D809">
        <v>8</v>
      </c>
      <c r="E809" t="s">
        <v>36</v>
      </c>
      <c r="F809" t="s">
        <v>48</v>
      </c>
      <c r="G809" t="s">
        <v>53</v>
      </c>
      <c r="H809" s="1">
        <v>45392</v>
      </c>
      <c r="I809" t="s">
        <v>870</v>
      </c>
      <c r="J809" t="s">
        <v>20</v>
      </c>
      <c r="K809" t="s">
        <v>42</v>
      </c>
      <c r="L809" s="3">
        <f>IF(Sales_Table[[#This Row],[Revenue]]=0,0,Sales_Table[[#This Row],[Revenue]]/Sales_Table[[#This Row],[Profit]])</f>
        <v>2.477366255144033</v>
      </c>
    </row>
    <row r="810" spans="1:12" x14ac:dyDescent="0.5">
      <c r="A810" t="s">
        <v>871</v>
      </c>
      <c r="B810">
        <v>3260</v>
      </c>
      <c r="C810">
        <v>207</v>
      </c>
      <c r="D810">
        <v>17</v>
      </c>
      <c r="E810" t="s">
        <v>36</v>
      </c>
      <c r="F810" t="s">
        <v>37</v>
      </c>
      <c r="G810" t="s">
        <v>12</v>
      </c>
      <c r="H810" s="1">
        <v>45281</v>
      </c>
      <c r="I810" t="s">
        <v>872</v>
      </c>
      <c r="J810" t="s">
        <v>34</v>
      </c>
      <c r="K810" t="s">
        <v>62</v>
      </c>
      <c r="L810" s="3">
        <f>IF(Sales_Table[[#This Row],[Revenue]]=0,0,Sales_Table[[#This Row],[Revenue]]/Sales_Table[[#This Row],[Profit]])</f>
        <v>15.748792270531402</v>
      </c>
    </row>
    <row r="811" spans="1:12" x14ac:dyDescent="0.5">
      <c r="A811" t="s">
        <v>873</v>
      </c>
      <c r="B811">
        <v>8709</v>
      </c>
      <c r="C811">
        <v>2322</v>
      </c>
      <c r="D811">
        <v>8</v>
      </c>
      <c r="E811" t="s">
        <v>36</v>
      </c>
      <c r="F811" t="s">
        <v>37</v>
      </c>
      <c r="G811" t="s">
        <v>26</v>
      </c>
      <c r="H811" s="1">
        <v>45414</v>
      </c>
      <c r="I811" t="s">
        <v>874</v>
      </c>
      <c r="J811" t="s">
        <v>59</v>
      </c>
      <c r="K811" t="s">
        <v>71</v>
      </c>
      <c r="L811" s="3">
        <f>IF(Sales_Table[[#This Row],[Revenue]]=0,0,Sales_Table[[#This Row],[Revenue]]/Sales_Table[[#This Row],[Profit]])</f>
        <v>3.7506459948320412</v>
      </c>
    </row>
    <row r="812" spans="1:12" x14ac:dyDescent="0.5">
      <c r="A812" t="s">
        <v>873</v>
      </c>
      <c r="B812">
        <v>8709</v>
      </c>
      <c r="C812">
        <v>2322</v>
      </c>
      <c r="D812">
        <v>8</v>
      </c>
      <c r="E812" t="s">
        <v>36</v>
      </c>
      <c r="F812" t="s">
        <v>37</v>
      </c>
      <c r="G812" t="s">
        <v>26</v>
      </c>
      <c r="H812" s="1">
        <v>45617</v>
      </c>
      <c r="I812" t="s">
        <v>875</v>
      </c>
      <c r="J812" t="s">
        <v>34</v>
      </c>
      <c r="K812" t="s">
        <v>75</v>
      </c>
      <c r="L812" s="3">
        <f>IF(Sales_Table[[#This Row],[Revenue]]=0,0,Sales_Table[[#This Row],[Revenue]]/Sales_Table[[#This Row],[Profit]])</f>
        <v>3.7506459948320412</v>
      </c>
    </row>
    <row r="813" spans="1:12" x14ac:dyDescent="0.5">
      <c r="A813" t="s">
        <v>876</v>
      </c>
      <c r="B813">
        <v>5250</v>
      </c>
      <c r="C813">
        <v>187</v>
      </c>
      <c r="D813">
        <v>1</v>
      </c>
      <c r="E813" t="s">
        <v>24</v>
      </c>
      <c r="F813" t="s">
        <v>64</v>
      </c>
      <c r="G813" t="s">
        <v>53</v>
      </c>
      <c r="H813" s="1">
        <v>44637</v>
      </c>
      <c r="I813" t="s">
        <v>877</v>
      </c>
      <c r="J813" t="s">
        <v>79</v>
      </c>
      <c r="K813" t="s">
        <v>86</v>
      </c>
      <c r="L813" s="3">
        <f>IF(Sales_Table[[#This Row],[Revenue]]=0,0,Sales_Table[[#This Row],[Revenue]]/Sales_Table[[#This Row],[Profit]])</f>
        <v>28.074866310160427</v>
      </c>
    </row>
    <row r="814" spans="1:12" x14ac:dyDescent="0.5">
      <c r="A814" t="s">
        <v>876</v>
      </c>
      <c r="B814">
        <v>5250</v>
      </c>
      <c r="C814">
        <v>187</v>
      </c>
      <c r="D814">
        <v>1</v>
      </c>
      <c r="E814" t="s">
        <v>24</v>
      </c>
      <c r="F814" t="s">
        <v>64</v>
      </c>
      <c r="G814" t="s">
        <v>53</v>
      </c>
      <c r="H814" s="1">
        <v>45060</v>
      </c>
      <c r="I814" t="s">
        <v>878</v>
      </c>
      <c r="J814" t="s">
        <v>59</v>
      </c>
      <c r="K814" t="s">
        <v>108</v>
      </c>
      <c r="L814" s="3">
        <f>IF(Sales_Table[[#This Row],[Revenue]]=0,0,Sales_Table[[#This Row],[Revenue]]/Sales_Table[[#This Row],[Profit]])</f>
        <v>28.074866310160427</v>
      </c>
    </row>
    <row r="815" spans="1:12" x14ac:dyDescent="0.5">
      <c r="A815" t="s">
        <v>879</v>
      </c>
      <c r="B815">
        <v>4116</v>
      </c>
      <c r="C815">
        <v>921</v>
      </c>
      <c r="D815">
        <v>20</v>
      </c>
      <c r="E815" t="s">
        <v>24</v>
      </c>
      <c r="F815" t="s">
        <v>52</v>
      </c>
      <c r="G815" t="s">
        <v>12</v>
      </c>
      <c r="H815" s="1">
        <v>45572</v>
      </c>
      <c r="I815" t="s">
        <v>880</v>
      </c>
      <c r="J815" t="s">
        <v>34</v>
      </c>
      <c r="K815" t="s">
        <v>35</v>
      </c>
      <c r="L815" s="3">
        <f>IF(Sales_Table[[#This Row],[Revenue]]=0,0,Sales_Table[[#This Row],[Revenue]]/Sales_Table[[#This Row],[Profit]])</f>
        <v>4.4690553745928341</v>
      </c>
    </row>
    <row r="816" spans="1:12" x14ac:dyDescent="0.5">
      <c r="A816" t="s">
        <v>879</v>
      </c>
      <c r="B816">
        <v>4116</v>
      </c>
      <c r="C816">
        <v>921</v>
      </c>
      <c r="D816">
        <v>20</v>
      </c>
      <c r="E816" t="s">
        <v>24</v>
      </c>
      <c r="F816" t="s">
        <v>52</v>
      </c>
      <c r="G816" t="s">
        <v>12</v>
      </c>
      <c r="H816" s="1">
        <v>44082</v>
      </c>
      <c r="I816" t="s">
        <v>881</v>
      </c>
      <c r="J816" t="s">
        <v>17</v>
      </c>
      <c r="K816" t="s">
        <v>51</v>
      </c>
      <c r="L816" s="3">
        <f>IF(Sales_Table[[#This Row],[Revenue]]=0,0,Sales_Table[[#This Row],[Revenue]]/Sales_Table[[#This Row],[Profit]])</f>
        <v>4.4690553745928341</v>
      </c>
    </row>
    <row r="817" spans="1:12" x14ac:dyDescent="0.5">
      <c r="A817" t="s">
        <v>882</v>
      </c>
      <c r="B817">
        <v>1109</v>
      </c>
      <c r="C817">
        <v>418</v>
      </c>
      <c r="D817">
        <v>15</v>
      </c>
      <c r="E817" t="s">
        <v>24</v>
      </c>
      <c r="F817" t="s">
        <v>52</v>
      </c>
      <c r="G817" t="s">
        <v>12</v>
      </c>
      <c r="H817" s="1">
        <v>44427</v>
      </c>
      <c r="I817" t="s">
        <v>883</v>
      </c>
      <c r="J817" t="s">
        <v>34</v>
      </c>
      <c r="K817" t="s">
        <v>35</v>
      </c>
      <c r="L817" s="3">
        <f>IF(Sales_Table[[#This Row],[Revenue]]=0,0,Sales_Table[[#This Row],[Revenue]]/Sales_Table[[#This Row],[Profit]])</f>
        <v>2.6531100478468899</v>
      </c>
    </row>
    <row r="818" spans="1:12" x14ac:dyDescent="0.5">
      <c r="A818" t="s">
        <v>884</v>
      </c>
      <c r="B818">
        <v>3573</v>
      </c>
      <c r="C818">
        <v>562</v>
      </c>
      <c r="D818">
        <v>7</v>
      </c>
      <c r="E818" t="s">
        <v>24</v>
      </c>
      <c r="F818" t="s">
        <v>25</v>
      </c>
      <c r="G818" t="s">
        <v>32</v>
      </c>
      <c r="H818" s="1">
        <v>44846</v>
      </c>
      <c r="I818" t="s">
        <v>391</v>
      </c>
      <c r="J818" t="s">
        <v>20</v>
      </c>
      <c r="K818" t="s">
        <v>56</v>
      </c>
      <c r="L818" s="3">
        <f>IF(Sales_Table[[#This Row],[Revenue]]=0,0,Sales_Table[[#This Row],[Revenue]]/Sales_Table[[#This Row],[Profit]])</f>
        <v>6.357651245551601</v>
      </c>
    </row>
    <row r="819" spans="1:12" x14ac:dyDescent="0.5">
      <c r="A819" t="s">
        <v>884</v>
      </c>
      <c r="B819">
        <v>3573</v>
      </c>
      <c r="C819">
        <v>562</v>
      </c>
      <c r="D819">
        <v>7</v>
      </c>
      <c r="E819" t="s">
        <v>24</v>
      </c>
      <c r="F819" t="s">
        <v>25</v>
      </c>
      <c r="G819" t="s">
        <v>32</v>
      </c>
      <c r="H819" s="1">
        <v>43974</v>
      </c>
      <c r="I819" t="s">
        <v>885</v>
      </c>
      <c r="J819" t="s">
        <v>34</v>
      </c>
      <c r="K819" t="s">
        <v>62</v>
      </c>
      <c r="L819" s="3">
        <f>IF(Sales_Table[[#This Row],[Revenue]]=0,0,Sales_Table[[#This Row],[Revenue]]/Sales_Table[[#This Row],[Profit]])</f>
        <v>6.357651245551601</v>
      </c>
    </row>
    <row r="820" spans="1:12" x14ac:dyDescent="0.5">
      <c r="A820" t="s">
        <v>884</v>
      </c>
      <c r="B820">
        <v>3573</v>
      </c>
      <c r="C820">
        <v>562</v>
      </c>
      <c r="D820">
        <v>7</v>
      </c>
      <c r="E820" t="s">
        <v>24</v>
      </c>
      <c r="F820" t="s">
        <v>25</v>
      </c>
      <c r="G820" t="s">
        <v>32</v>
      </c>
      <c r="H820" s="1">
        <v>43939</v>
      </c>
      <c r="I820" t="s">
        <v>886</v>
      </c>
      <c r="J820" t="s">
        <v>14</v>
      </c>
      <c r="K820" t="s">
        <v>118</v>
      </c>
      <c r="L820" s="3">
        <f>IF(Sales_Table[[#This Row],[Revenue]]=0,0,Sales_Table[[#This Row],[Revenue]]/Sales_Table[[#This Row],[Profit]])</f>
        <v>6.357651245551601</v>
      </c>
    </row>
    <row r="821" spans="1:12" x14ac:dyDescent="0.5">
      <c r="A821" t="s">
        <v>884</v>
      </c>
      <c r="B821">
        <v>8055</v>
      </c>
      <c r="C821">
        <v>661</v>
      </c>
      <c r="D821">
        <v>10</v>
      </c>
      <c r="E821" t="s">
        <v>10</v>
      </c>
      <c r="F821" t="s">
        <v>67</v>
      </c>
      <c r="G821" t="s">
        <v>32</v>
      </c>
      <c r="H821" s="1">
        <v>44846</v>
      </c>
      <c r="I821" t="s">
        <v>391</v>
      </c>
      <c r="J821" t="s">
        <v>20</v>
      </c>
      <c r="K821" t="s">
        <v>56</v>
      </c>
      <c r="L821" s="3">
        <f>IF(Sales_Table[[#This Row],[Revenue]]=0,0,Sales_Table[[#This Row],[Revenue]]/Sales_Table[[#This Row],[Profit]])</f>
        <v>12.18608169440242</v>
      </c>
    </row>
    <row r="822" spans="1:12" x14ac:dyDescent="0.5">
      <c r="A822" t="s">
        <v>884</v>
      </c>
      <c r="B822">
        <v>8055</v>
      </c>
      <c r="C822">
        <v>661</v>
      </c>
      <c r="D822">
        <v>10</v>
      </c>
      <c r="E822" t="s">
        <v>10</v>
      </c>
      <c r="F822" t="s">
        <v>67</v>
      </c>
      <c r="G822" t="s">
        <v>32</v>
      </c>
      <c r="H822" s="1">
        <v>43974</v>
      </c>
      <c r="I822" t="s">
        <v>885</v>
      </c>
      <c r="J822" t="s">
        <v>34</v>
      </c>
      <c r="K822" t="s">
        <v>62</v>
      </c>
      <c r="L822" s="3">
        <f>IF(Sales_Table[[#This Row],[Revenue]]=0,0,Sales_Table[[#This Row],[Revenue]]/Sales_Table[[#This Row],[Profit]])</f>
        <v>12.18608169440242</v>
      </c>
    </row>
    <row r="823" spans="1:12" x14ac:dyDescent="0.5">
      <c r="A823" t="s">
        <v>884</v>
      </c>
      <c r="B823">
        <v>8055</v>
      </c>
      <c r="C823">
        <v>661</v>
      </c>
      <c r="D823">
        <v>10</v>
      </c>
      <c r="E823" t="s">
        <v>10</v>
      </c>
      <c r="F823" t="s">
        <v>67</v>
      </c>
      <c r="G823" t="s">
        <v>32</v>
      </c>
      <c r="H823" s="1">
        <v>43939</v>
      </c>
      <c r="I823" t="s">
        <v>886</v>
      </c>
      <c r="J823" t="s">
        <v>14</v>
      </c>
      <c r="K823" t="s">
        <v>118</v>
      </c>
      <c r="L823" s="3">
        <f>IF(Sales_Table[[#This Row],[Revenue]]=0,0,Sales_Table[[#This Row],[Revenue]]/Sales_Table[[#This Row],[Profit]])</f>
        <v>12.18608169440242</v>
      </c>
    </row>
    <row r="824" spans="1:12" x14ac:dyDescent="0.5">
      <c r="A824" t="s">
        <v>887</v>
      </c>
      <c r="B824">
        <v>6829</v>
      </c>
      <c r="C824">
        <v>2609</v>
      </c>
      <c r="D824">
        <v>2</v>
      </c>
      <c r="E824" t="s">
        <v>10</v>
      </c>
      <c r="F824" t="s">
        <v>31</v>
      </c>
      <c r="G824" t="s">
        <v>32</v>
      </c>
      <c r="H824" s="1">
        <v>44716</v>
      </c>
      <c r="I824" t="s">
        <v>888</v>
      </c>
      <c r="J824" t="s">
        <v>34</v>
      </c>
      <c r="K824" t="s">
        <v>75</v>
      </c>
      <c r="L824" s="3">
        <f>IF(Sales_Table[[#This Row],[Revenue]]=0,0,Sales_Table[[#This Row],[Revenue]]/Sales_Table[[#This Row],[Profit]])</f>
        <v>2.6174779609045613</v>
      </c>
    </row>
    <row r="825" spans="1:12" x14ac:dyDescent="0.5">
      <c r="A825" t="s">
        <v>887</v>
      </c>
      <c r="B825">
        <v>6390</v>
      </c>
      <c r="C825">
        <v>3089</v>
      </c>
      <c r="D825">
        <v>12</v>
      </c>
      <c r="E825" t="s">
        <v>24</v>
      </c>
      <c r="F825" t="s">
        <v>52</v>
      </c>
      <c r="G825" t="s">
        <v>53</v>
      </c>
      <c r="H825" s="1">
        <v>44716</v>
      </c>
      <c r="I825" t="s">
        <v>888</v>
      </c>
      <c r="J825" t="s">
        <v>34</v>
      </c>
      <c r="K825" t="s">
        <v>75</v>
      </c>
      <c r="L825" s="3">
        <f>IF(Sales_Table[[#This Row],[Revenue]]=0,0,Sales_Table[[#This Row],[Revenue]]/Sales_Table[[#This Row],[Profit]])</f>
        <v>2.0686306247976693</v>
      </c>
    </row>
    <row r="826" spans="1:12" x14ac:dyDescent="0.5">
      <c r="A826" t="s">
        <v>889</v>
      </c>
      <c r="B826">
        <v>5831</v>
      </c>
      <c r="C826">
        <v>1574</v>
      </c>
      <c r="D826">
        <v>17</v>
      </c>
      <c r="E826" t="s">
        <v>24</v>
      </c>
      <c r="F826" t="s">
        <v>25</v>
      </c>
      <c r="G826" t="s">
        <v>26</v>
      </c>
      <c r="H826" s="1">
        <v>44881</v>
      </c>
      <c r="I826" t="s">
        <v>890</v>
      </c>
      <c r="J826" t="s">
        <v>34</v>
      </c>
      <c r="K826" t="s">
        <v>75</v>
      </c>
      <c r="L826" s="3">
        <f>IF(Sales_Table[[#This Row],[Revenue]]=0,0,Sales_Table[[#This Row],[Revenue]]/Sales_Table[[#This Row],[Profit]])</f>
        <v>3.7045743329097838</v>
      </c>
    </row>
    <row r="827" spans="1:12" x14ac:dyDescent="0.5">
      <c r="A827" t="s">
        <v>889</v>
      </c>
      <c r="B827">
        <v>5831</v>
      </c>
      <c r="C827">
        <v>1574</v>
      </c>
      <c r="D827">
        <v>17</v>
      </c>
      <c r="E827" t="s">
        <v>24</v>
      </c>
      <c r="F827" t="s">
        <v>25</v>
      </c>
      <c r="G827" t="s">
        <v>26</v>
      </c>
      <c r="H827" s="1">
        <v>45491</v>
      </c>
      <c r="I827" t="s">
        <v>891</v>
      </c>
      <c r="J827" t="s">
        <v>34</v>
      </c>
      <c r="K827" t="s">
        <v>62</v>
      </c>
      <c r="L827" s="3">
        <f>IF(Sales_Table[[#This Row],[Revenue]]=0,0,Sales_Table[[#This Row],[Revenue]]/Sales_Table[[#This Row],[Profit]])</f>
        <v>3.7045743329097838</v>
      </c>
    </row>
    <row r="828" spans="1:12" x14ac:dyDescent="0.5">
      <c r="A828" t="s">
        <v>889</v>
      </c>
      <c r="B828">
        <v>5831</v>
      </c>
      <c r="C828">
        <v>1574</v>
      </c>
      <c r="D828">
        <v>17</v>
      </c>
      <c r="E828" t="s">
        <v>24</v>
      </c>
      <c r="F828" t="s">
        <v>25</v>
      </c>
      <c r="G828" t="s">
        <v>26</v>
      </c>
      <c r="H828" s="1">
        <v>45123</v>
      </c>
      <c r="I828" t="s">
        <v>892</v>
      </c>
      <c r="J828" t="s">
        <v>14</v>
      </c>
      <c r="K828" t="s">
        <v>15</v>
      </c>
      <c r="L828" s="3">
        <f>IF(Sales_Table[[#This Row],[Revenue]]=0,0,Sales_Table[[#This Row],[Revenue]]/Sales_Table[[#This Row],[Profit]])</f>
        <v>3.7045743329097838</v>
      </c>
    </row>
    <row r="829" spans="1:12" x14ac:dyDescent="0.5">
      <c r="A829" t="s">
        <v>893</v>
      </c>
      <c r="B829">
        <v>7952</v>
      </c>
      <c r="C829">
        <v>3865</v>
      </c>
      <c r="D829">
        <v>8</v>
      </c>
      <c r="E829" t="s">
        <v>36</v>
      </c>
      <c r="F829" t="s">
        <v>48</v>
      </c>
      <c r="G829" t="s">
        <v>26</v>
      </c>
      <c r="H829" s="1">
        <v>44053</v>
      </c>
      <c r="I829" t="s">
        <v>894</v>
      </c>
      <c r="J829" t="s">
        <v>17</v>
      </c>
      <c r="K829" t="s">
        <v>134</v>
      </c>
      <c r="L829" s="3">
        <f>IF(Sales_Table[[#This Row],[Revenue]]=0,0,Sales_Table[[#This Row],[Revenue]]/Sales_Table[[#This Row],[Profit]])</f>
        <v>2.057438551099612</v>
      </c>
    </row>
    <row r="830" spans="1:12" x14ac:dyDescent="0.5">
      <c r="A830" t="s">
        <v>895</v>
      </c>
      <c r="B830">
        <v>3659</v>
      </c>
      <c r="C830">
        <v>379</v>
      </c>
      <c r="D830">
        <v>5</v>
      </c>
      <c r="E830" t="s">
        <v>36</v>
      </c>
      <c r="F830" t="s">
        <v>87</v>
      </c>
      <c r="G830" t="s">
        <v>12</v>
      </c>
      <c r="H830" s="1">
        <v>45465</v>
      </c>
      <c r="I830" t="s">
        <v>896</v>
      </c>
      <c r="J830" t="s">
        <v>34</v>
      </c>
      <c r="K830" t="s">
        <v>35</v>
      </c>
      <c r="L830" s="3">
        <f>IF(Sales_Table[[#This Row],[Revenue]]=0,0,Sales_Table[[#This Row],[Revenue]]/Sales_Table[[#This Row],[Profit]])</f>
        <v>9.6543535620052765</v>
      </c>
    </row>
    <row r="831" spans="1:12" x14ac:dyDescent="0.5">
      <c r="A831" t="s">
        <v>897</v>
      </c>
      <c r="B831">
        <v>4183</v>
      </c>
      <c r="C831">
        <v>1159</v>
      </c>
      <c r="D831">
        <v>4</v>
      </c>
      <c r="E831" t="s">
        <v>24</v>
      </c>
      <c r="F831" t="s">
        <v>25</v>
      </c>
      <c r="G831" t="s">
        <v>26</v>
      </c>
      <c r="H831" s="1">
        <v>44025</v>
      </c>
      <c r="I831" t="s">
        <v>898</v>
      </c>
      <c r="J831" t="s">
        <v>17</v>
      </c>
      <c r="K831" t="s">
        <v>51</v>
      </c>
      <c r="L831" s="3">
        <f>IF(Sales_Table[[#This Row],[Revenue]]=0,0,Sales_Table[[#This Row],[Revenue]]/Sales_Table[[#This Row],[Profit]])</f>
        <v>3.6091458153580671</v>
      </c>
    </row>
    <row r="832" spans="1:12" x14ac:dyDescent="0.5">
      <c r="A832" t="s">
        <v>899</v>
      </c>
      <c r="B832">
        <v>7478</v>
      </c>
      <c r="C832">
        <v>1381</v>
      </c>
      <c r="D832">
        <v>11</v>
      </c>
      <c r="E832" t="s">
        <v>10</v>
      </c>
      <c r="F832" t="s">
        <v>67</v>
      </c>
      <c r="G832" t="s">
        <v>32</v>
      </c>
      <c r="H832" s="1">
        <v>45398</v>
      </c>
      <c r="I832" t="s">
        <v>900</v>
      </c>
      <c r="J832" t="s">
        <v>59</v>
      </c>
      <c r="K832" t="s">
        <v>108</v>
      </c>
      <c r="L832" s="3">
        <f>IF(Sales_Table[[#This Row],[Revenue]]=0,0,Sales_Table[[#This Row],[Revenue]]/Sales_Table[[#This Row],[Profit]])</f>
        <v>5.4149167270094134</v>
      </c>
    </row>
    <row r="833" spans="1:12" x14ac:dyDescent="0.5">
      <c r="A833" t="s">
        <v>901</v>
      </c>
      <c r="B833">
        <v>702</v>
      </c>
      <c r="C833">
        <v>238</v>
      </c>
      <c r="D833">
        <v>9</v>
      </c>
      <c r="E833" t="s">
        <v>10</v>
      </c>
      <c r="F833" t="s">
        <v>67</v>
      </c>
      <c r="G833" t="s">
        <v>53</v>
      </c>
      <c r="H833" s="1">
        <v>44268</v>
      </c>
      <c r="I833" t="s">
        <v>902</v>
      </c>
      <c r="J833" t="s">
        <v>14</v>
      </c>
      <c r="K833" t="s">
        <v>118</v>
      </c>
      <c r="L833" s="3">
        <f>IF(Sales_Table[[#This Row],[Revenue]]=0,0,Sales_Table[[#This Row],[Revenue]]/Sales_Table[[#This Row],[Profit]])</f>
        <v>2.9495798319327733</v>
      </c>
    </row>
    <row r="834" spans="1:12" x14ac:dyDescent="0.5">
      <c r="A834" t="s">
        <v>903</v>
      </c>
      <c r="B834">
        <v>4037</v>
      </c>
      <c r="C834">
        <v>1494</v>
      </c>
      <c r="D834">
        <v>15</v>
      </c>
      <c r="E834" t="s">
        <v>36</v>
      </c>
      <c r="F834" t="s">
        <v>40</v>
      </c>
      <c r="G834" t="s">
        <v>32</v>
      </c>
      <c r="H834" s="1">
        <v>45017</v>
      </c>
      <c r="I834" t="s">
        <v>904</v>
      </c>
      <c r="J834" t="s">
        <v>34</v>
      </c>
      <c r="K834" t="s">
        <v>75</v>
      </c>
      <c r="L834" s="3">
        <f>IF(Sales_Table[[#This Row],[Revenue]]=0,0,Sales_Table[[#This Row],[Revenue]]/Sales_Table[[#This Row],[Profit]])</f>
        <v>2.7021419009370815</v>
      </c>
    </row>
    <row r="835" spans="1:12" x14ac:dyDescent="0.5">
      <c r="A835" t="s">
        <v>905</v>
      </c>
      <c r="B835">
        <v>5014</v>
      </c>
      <c r="C835">
        <v>2332</v>
      </c>
      <c r="D835">
        <v>2</v>
      </c>
      <c r="E835" t="s">
        <v>36</v>
      </c>
      <c r="F835" t="s">
        <v>40</v>
      </c>
      <c r="G835" t="s">
        <v>53</v>
      </c>
      <c r="H835" s="1">
        <v>44145</v>
      </c>
      <c r="I835" t="s">
        <v>906</v>
      </c>
      <c r="J835" t="s">
        <v>17</v>
      </c>
      <c r="K835" t="s">
        <v>18</v>
      </c>
      <c r="L835" s="3">
        <f>IF(Sales_Table[[#This Row],[Revenue]]=0,0,Sales_Table[[#This Row],[Revenue]]/Sales_Table[[#This Row],[Profit]])</f>
        <v>2.1500857632933106</v>
      </c>
    </row>
    <row r="836" spans="1:12" x14ac:dyDescent="0.5">
      <c r="A836" t="s">
        <v>907</v>
      </c>
      <c r="B836">
        <v>9879</v>
      </c>
      <c r="C836">
        <v>4930</v>
      </c>
      <c r="D836">
        <v>15</v>
      </c>
      <c r="E836" t="s">
        <v>10</v>
      </c>
      <c r="F836" t="s">
        <v>31</v>
      </c>
      <c r="G836" t="s">
        <v>26</v>
      </c>
      <c r="H836" s="1">
        <v>45085</v>
      </c>
      <c r="I836" t="s">
        <v>908</v>
      </c>
      <c r="J836" t="s">
        <v>20</v>
      </c>
      <c r="K836" t="s">
        <v>56</v>
      </c>
      <c r="L836" s="3">
        <f>IF(Sales_Table[[#This Row],[Revenue]]=0,0,Sales_Table[[#This Row],[Revenue]]/Sales_Table[[#This Row],[Profit]])</f>
        <v>2.0038539553752535</v>
      </c>
    </row>
    <row r="837" spans="1:12" x14ac:dyDescent="0.5">
      <c r="A837" t="s">
        <v>909</v>
      </c>
      <c r="B837">
        <v>8762</v>
      </c>
      <c r="C837">
        <v>3502</v>
      </c>
      <c r="D837">
        <v>1</v>
      </c>
      <c r="E837" t="s">
        <v>10</v>
      </c>
      <c r="F837" t="s">
        <v>67</v>
      </c>
      <c r="G837" t="s">
        <v>26</v>
      </c>
      <c r="H837" s="1">
        <v>44425</v>
      </c>
      <c r="I837" t="s">
        <v>910</v>
      </c>
      <c r="J837" t="s">
        <v>14</v>
      </c>
      <c r="K837" t="s">
        <v>118</v>
      </c>
      <c r="L837" s="3">
        <f>IF(Sales_Table[[#This Row],[Revenue]]=0,0,Sales_Table[[#This Row],[Revenue]]/Sales_Table[[#This Row],[Profit]])</f>
        <v>2.5019988577955452</v>
      </c>
    </row>
    <row r="838" spans="1:12" x14ac:dyDescent="0.5">
      <c r="A838" t="s">
        <v>911</v>
      </c>
      <c r="B838">
        <v>8490</v>
      </c>
      <c r="C838">
        <v>800</v>
      </c>
      <c r="D838">
        <v>1</v>
      </c>
      <c r="E838" t="s">
        <v>24</v>
      </c>
      <c r="F838" t="s">
        <v>25</v>
      </c>
      <c r="G838" t="s">
        <v>32</v>
      </c>
      <c r="H838" s="1">
        <v>43975</v>
      </c>
      <c r="I838" t="s">
        <v>912</v>
      </c>
      <c r="J838" t="s">
        <v>20</v>
      </c>
      <c r="K838" t="s">
        <v>42</v>
      </c>
      <c r="L838" s="3">
        <f>IF(Sales_Table[[#This Row],[Revenue]]=0,0,Sales_Table[[#This Row],[Revenue]]/Sales_Table[[#This Row],[Profit]])</f>
        <v>10.612500000000001</v>
      </c>
    </row>
    <row r="839" spans="1:12" x14ac:dyDescent="0.5">
      <c r="A839" t="s">
        <v>913</v>
      </c>
      <c r="B839">
        <v>6951</v>
      </c>
      <c r="C839">
        <v>164</v>
      </c>
      <c r="D839">
        <v>10</v>
      </c>
      <c r="E839" t="s">
        <v>36</v>
      </c>
      <c r="F839" t="s">
        <v>48</v>
      </c>
      <c r="G839" t="s">
        <v>12</v>
      </c>
      <c r="H839" s="1">
        <v>44420</v>
      </c>
      <c r="I839" t="s">
        <v>914</v>
      </c>
      <c r="J839" t="s">
        <v>20</v>
      </c>
      <c r="K839" t="s">
        <v>21</v>
      </c>
      <c r="L839" s="3">
        <f>IF(Sales_Table[[#This Row],[Revenue]]=0,0,Sales_Table[[#This Row],[Revenue]]/Sales_Table[[#This Row],[Profit]])</f>
        <v>42.384146341463413</v>
      </c>
    </row>
    <row r="840" spans="1:12" x14ac:dyDescent="0.5">
      <c r="A840" t="s">
        <v>915</v>
      </c>
      <c r="B840">
        <v>1078</v>
      </c>
      <c r="C840">
        <v>309</v>
      </c>
      <c r="D840">
        <v>3</v>
      </c>
      <c r="E840" t="s">
        <v>10</v>
      </c>
      <c r="F840" t="s">
        <v>67</v>
      </c>
      <c r="G840" t="s">
        <v>38</v>
      </c>
      <c r="H840" s="1">
        <v>44807</v>
      </c>
      <c r="I840" t="s">
        <v>916</v>
      </c>
      <c r="J840" t="s">
        <v>79</v>
      </c>
      <c r="K840" t="s">
        <v>94</v>
      </c>
      <c r="L840" s="3">
        <f>IF(Sales_Table[[#This Row],[Revenue]]=0,0,Sales_Table[[#This Row],[Revenue]]/Sales_Table[[#This Row],[Profit]])</f>
        <v>3.4886731391585761</v>
      </c>
    </row>
    <row r="841" spans="1:12" x14ac:dyDescent="0.5">
      <c r="A841" t="s">
        <v>915</v>
      </c>
      <c r="B841">
        <v>1078</v>
      </c>
      <c r="C841">
        <v>309</v>
      </c>
      <c r="D841">
        <v>3</v>
      </c>
      <c r="E841" t="s">
        <v>10</v>
      </c>
      <c r="F841" t="s">
        <v>67</v>
      </c>
      <c r="G841" t="s">
        <v>38</v>
      </c>
      <c r="H841" s="1">
        <v>44105</v>
      </c>
      <c r="I841" t="s">
        <v>917</v>
      </c>
      <c r="J841" t="s">
        <v>17</v>
      </c>
      <c r="K841" t="s">
        <v>18</v>
      </c>
      <c r="L841" s="3">
        <f>IF(Sales_Table[[#This Row],[Revenue]]=0,0,Sales_Table[[#This Row],[Revenue]]/Sales_Table[[#This Row],[Profit]])</f>
        <v>3.4886731391585761</v>
      </c>
    </row>
    <row r="842" spans="1:12" x14ac:dyDescent="0.5">
      <c r="A842" t="s">
        <v>918</v>
      </c>
      <c r="B842">
        <v>8560</v>
      </c>
      <c r="C842">
        <v>2166</v>
      </c>
      <c r="D842">
        <v>19</v>
      </c>
      <c r="E842" t="s">
        <v>24</v>
      </c>
      <c r="F842" t="s">
        <v>64</v>
      </c>
      <c r="G842" t="s">
        <v>32</v>
      </c>
      <c r="H842" s="1">
        <v>44708</v>
      </c>
      <c r="I842" t="s">
        <v>919</v>
      </c>
      <c r="J842" t="s">
        <v>14</v>
      </c>
      <c r="K842" t="s">
        <v>118</v>
      </c>
      <c r="L842" s="3">
        <f>IF(Sales_Table[[#This Row],[Revenue]]=0,0,Sales_Table[[#This Row],[Revenue]]/Sales_Table[[#This Row],[Profit]])</f>
        <v>3.9519852262234534</v>
      </c>
    </row>
    <row r="843" spans="1:12" x14ac:dyDescent="0.5">
      <c r="A843" t="s">
        <v>918</v>
      </c>
      <c r="B843">
        <v>1031</v>
      </c>
      <c r="C843">
        <v>318</v>
      </c>
      <c r="D843">
        <v>20</v>
      </c>
      <c r="E843" t="s">
        <v>10</v>
      </c>
      <c r="F843" t="s">
        <v>11</v>
      </c>
      <c r="G843" t="s">
        <v>12</v>
      </c>
      <c r="H843" s="1">
        <v>44708</v>
      </c>
      <c r="I843" t="s">
        <v>919</v>
      </c>
      <c r="J843" t="s">
        <v>14</v>
      </c>
      <c r="K843" t="s">
        <v>118</v>
      </c>
      <c r="L843" s="3">
        <f>IF(Sales_Table[[#This Row],[Revenue]]=0,0,Sales_Table[[#This Row],[Revenue]]/Sales_Table[[#This Row],[Profit]])</f>
        <v>3.242138364779874</v>
      </c>
    </row>
    <row r="844" spans="1:12" x14ac:dyDescent="0.5">
      <c r="A844" t="s">
        <v>920</v>
      </c>
      <c r="B844">
        <v>6402</v>
      </c>
      <c r="C844">
        <v>2770</v>
      </c>
      <c r="D844">
        <v>19</v>
      </c>
      <c r="E844" t="s">
        <v>24</v>
      </c>
      <c r="F844" t="s">
        <v>46</v>
      </c>
      <c r="G844" t="s">
        <v>26</v>
      </c>
      <c r="H844" s="1">
        <v>45361</v>
      </c>
      <c r="I844" t="s">
        <v>921</v>
      </c>
      <c r="J844" t="s">
        <v>14</v>
      </c>
      <c r="K844" t="s">
        <v>28</v>
      </c>
      <c r="L844" s="3">
        <f>IF(Sales_Table[[#This Row],[Revenue]]=0,0,Sales_Table[[#This Row],[Revenue]]/Sales_Table[[#This Row],[Profit]])</f>
        <v>2.3111913357400722</v>
      </c>
    </row>
    <row r="845" spans="1:12" x14ac:dyDescent="0.5">
      <c r="A845" t="s">
        <v>920</v>
      </c>
      <c r="B845">
        <v>6402</v>
      </c>
      <c r="C845">
        <v>2770</v>
      </c>
      <c r="D845">
        <v>19</v>
      </c>
      <c r="E845" t="s">
        <v>24</v>
      </c>
      <c r="F845" t="s">
        <v>46</v>
      </c>
      <c r="G845" t="s">
        <v>26</v>
      </c>
      <c r="H845" s="1">
        <v>45204</v>
      </c>
      <c r="I845" t="s">
        <v>922</v>
      </c>
      <c r="J845" t="s">
        <v>14</v>
      </c>
      <c r="K845" t="s">
        <v>28</v>
      </c>
      <c r="L845" s="3">
        <f>IF(Sales_Table[[#This Row],[Revenue]]=0,0,Sales_Table[[#This Row],[Revenue]]/Sales_Table[[#This Row],[Profit]])</f>
        <v>2.3111913357400722</v>
      </c>
    </row>
    <row r="846" spans="1:12" x14ac:dyDescent="0.5">
      <c r="A846" t="s">
        <v>920</v>
      </c>
      <c r="B846">
        <v>5916</v>
      </c>
      <c r="C846">
        <v>1594</v>
      </c>
      <c r="D846">
        <v>19</v>
      </c>
      <c r="E846" t="s">
        <v>10</v>
      </c>
      <c r="F846" t="s">
        <v>22</v>
      </c>
      <c r="G846" t="s">
        <v>26</v>
      </c>
      <c r="H846" s="1">
        <v>45361</v>
      </c>
      <c r="I846" t="s">
        <v>921</v>
      </c>
      <c r="J846" t="s">
        <v>14</v>
      </c>
      <c r="K846" t="s">
        <v>28</v>
      </c>
      <c r="L846" s="3">
        <f>IF(Sales_Table[[#This Row],[Revenue]]=0,0,Sales_Table[[#This Row],[Revenue]]/Sales_Table[[#This Row],[Profit]])</f>
        <v>3.7114178168130487</v>
      </c>
    </row>
    <row r="847" spans="1:12" x14ac:dyDescent="0.5">
      <c r="A847" t="s">
        <v>920</v>
      </c>
      <c r="B847">
        <v>5916</v>
      </c>
      <c r="C847">
        <v>1594</v>
      </c>
      <c r="D847">
        <v>19</v>
      </c>
      <c r="E847" t="s">
        <v>10</v>
      </c>
      <c r="F847" t="s">
        <v>22</v>
      </c>
      <c r="G847" t="s">
        <v>26</v>
      </c>
      <c r="H847" s="1">
        <v>45204</v>
      </c>
      <c r="I847" t="s">
        <v>922</v>
      </c>
      <c r="J847" t="s">
        <v>14</v>
      </c>
      <c r="K847" t="s">
        <v>28</v>
      </c>
      <c r="L847" s="3">
        <f>IF(Sales_Table[[#This Row],[Revenue]]=0,0,Sales_Table[[#This Row],[Revenue]]/Sales_Table[[#This Row],[Profit]])</f>
        <v>3.7114178168130487</v>
      </c>
    </row>
    <row r="848" spans="1:12" x14ac:dyDescent="0.5">
      <c r="A848" t="s">
        <v>923</v>
      </c>
      <c r="B848">
        <v>4015</v>
      </c>
      <c r="C848">
        <v>1751</v>
      </c>
      <c r="D848">
        <v>15</v>
      </c>
      <c r="E848" t="s">
        <v>36</v>
      </c>
      <c r="F848" t="s">
        <v>40</v>
      </c>
      <c r="G848" t="s">
        <v>26</v>
      </c>
      <c r="H848" s="1">
        <v>44801</v>
      </c>
      <c r="I848" t="s">
        <v>924</v>
      </c>
      <c r="J848" t="s">
        <v>34</v>
      </c>
      <c r="K848" t="s">
        <v>75</v>
      </c>
      <c r="L848" s="3">
        <f>IF(Sales_Table[[#This Row],[Revenue]]=0,0,Sales_Table[[#This Row],[Revenue]]/Sales_Table[[#This Row],[Profit]])</f>
        <v>2.2929754426042264</v>
      </c>
    </row>
    <row r="849" spans="1:12" x14ac:dyDescent="0.5">
      <c r="A849" t="s">
        <v>923</v>
      </c>
      <c r="B849">
        <v>4015</v>
      </c>
      <c r="C849">
        <v>1751</v>
      </c>
      <c r="D849">
        <v>15</v>
      </c>
      <c r="E849" t="s">
        <v>36</v>
      </c>
      <c r="F849" t="s">
        <v>40</v>
      </c>
      <c r="G849" t="s">
        <v>26</v>
      </c>
      <c r="H849" s="1">
        <v>44082</v>
      </c>
      <c r="I849" t="s">
        <v>925</v>
      </c>
      <c r="J849" t="s">
        <v>20</v>
      </c>
      <c r="K849" t="s">
        <v>42</v>
      </c>
      <c r="L849" s="3">
        <f>IF(Sales_Table[[#This Row],[Revenue]]=0,0,Sales_Table[[#This Row],[Revenue]]/Sales_Table[[#This Row],[Profit]])</f>
        <v>2.2929754426042264</v>
      </c>
    </row>
    <row r="850" spans="1:12" x14ac:dyDescent="0.5">
      <c r="A850" t="s">
        <v>926</v>
      </c>
      <c r="B850">
        <v>9335</v>
      </c>
      <c r="C850">
        <v>557</v>
      </c>
      <c r="D850">
        <v>11</v>
      </c>
      <c r="E850" t="s">
        <v>10</v>
      </c>
      <c r="F850" t="s">
        <v>11</v>
      </c>
      <c r="G850" t="s">
        <v>53</v>
      </c>
      <c r="H850" s="1">
        <v>44313</v>
      </c>
      <c r="I850" t="s">
        <v>927</v>
      </c>
      <c r="J850" t="s">
        <v>34</v>
      </c>
      <c r="K850" t="s">
        <v>35</v>
      </c>
      <c r="L850" s="3">
        <f>IF(Sales_Table[[#This Row],[Revenue]]=0,0,Sales_Table[[#This Row],[Revenue]]/Sales_Table[[#This Row],[Profit]])</f>
        <v>16.759425493716339</v>
      </c>
    </row>
    <row r="851" spans="1:12" x14ac:dyDescent="0.5">
      <c r="A851" t="s">
        <v>928</v>
      </c>
      <c r="B851">
        <v>4706</v>
      </c>
      <c r="C851">
        <v>594</v>
      </c>
      <c r="D851">
        <v>11</v>
      </c>
      <c r="E851" t="s">
        <v>24</v>
      </c>
      <c r="F851" t="s">
        <v>64</v>
      </c>
      <c r="G851" t="s">
        <v>53</v>
      </c>
      <c r="H851" s="1">
        <v>44429</v>
      </c>
      <c r="I851" t="s">
        <v>929</v>
      </c>
      <c r="J851" t="s">
        <v>79</v>
      </c>
      <c r="K851" t="s">
        <v>94</v>
      </c>
      <c r="L851" s="3">
        <f>IF(Sales_Table[[#This Row],[Revenue]]=0,0,Sales_Table[[#This Row],[Revenue]]/Sales_Table[[#This Row],[Profit]])</f>
        <v>7.9225589225589221</v>
      </c>
    </row>
    <row r="852" spans="1:12" x14ac:dyDescent="0.5">
      <c r="A852" t="s">
        <v>928</v>
      </c>
      <c r="B852">
        <v>4706</v>
      </c>
      <c r="C852">
        <v>594</v>
      </c>
      <c r="D852">
        <v>11</v>
      </c>
      <c r="E852" t="s">
        <v>24</v>
      </c>
      <c r="F852" t="s">
        <v>64</v>
      </c>
      <c r="G852" t="s">
        <v>53</v>
      </c>
      <c r="H852" s="1">
        <v>44332</v>
      </c>
      <c r="I852" t="s">
        <v>930</v>
      </c>
      <c r="J852" t="s">
        <v>79</v>
      </c>
      <c r="K852" t="s">
        <v>80</v>
      </c>
      <c r="L852" s="3">
        <f>IF(Sales_Table[[#This Row],[Revenue]]=0,0,Sales_Table[[#This Row],[Revenue]]/Sales_Table[[#This Row],[Profit]])</f>
        <v>7.9225589225589221</v>
      </c>
    </row>
    <row r="853" spans="1:12" x14ac:dyDescent="0.5">
      <c r="A853" t="s">
        <v>928</v>
      </c>
      <c r="B853">
        <v>6584</v>
      </c>
      <c r="C853">
        <v>371</v>
      </c>
      <c r="D853">
        <v>6</v>
      </c>
      <c r="E853" t="s">
        <v>24</v>
      </c>
      <c r="F853" t="s">
        <v>46</v>
      </c>
      <c r="G853" t="s">
        <v>12</v>
      </c>
      <c r="H853" s="1">
        <v>44429</v>
      </c>
      <c r="I853" t="s">
        <v>929</v>
      </c>
      <c r="J853" t="s">
        <v>79</v>
      </c>
      <c r="K853" t="s">
        <v>94</v>
      </c>
      <c r="L853" s="3">
        <f>IF(Sales_Table[[#This Row],[Revenue]]=0,0,Sales_Table[[#This Row],[Revenue]]/Sales_Table[[#This Row],[Profit]])</f>
        <v>17.746630727762803</v>
      </c>
    </row>
    <row r="854" spans="1:12" x14ac:dyDescent="0.5">
      <c r="A854" t="s">
        <v>928</v>
      </c>
      <c r="B854">
        <v>6584</v>
      </c>
      <c r="C854">
        <v>371</v>
      </c>
      <c r="D854">
        <v>6</v>
      </c>
      <c r="E854" t="s">
        <v>24</v>
      </c>
      <c r="F854" t="s">
        <v>46</v>
      </c>
      <c r="G854" t="s">
        <v>12</v>
      </c>
      <c r="H854" s="1">
        <v>44332</v>
      </c>
      <c r="I854" t="s">
        <v>930</v>
      </c>
      <c r="J854" t="s">
        <v>79</v>
      </c>
      <c r="K854" t="s">
        <v>80</v>
      </c>
      <c r="L854" s="3">
        <f>IF(Sales_Table[[#This Row],[Revenue]]=0,0,Sales_Table[[#This Row],[Revenue]]/Sales_Table[[#This Row],[Profit]])</f>
        <v>17.746630727762803</v>
      </c>
    </row>
    <row r="855" spans="1:12" x14ac:dyDescent="0.5">
      <c r="A855" t="s">
        <v>931</v>
      </c>
      <c r="B855">
        <v>6389</v>
      </c>
      <c r="C855">
        <v>734</v>
      </c>
      <c r="D855">
        <v>1</v>
      </c>
      <c r="E855" t="s">
        <v>36</v>
      </c>
      <c r="F855" t="s">
        <v>48</v>
      </c>
      <c r="G855" t="s">
        <v>32</v>
      </c>
      <c r="H855" s="1">
        <v>44576</v>
      </c>
      <c r="I855" t="s">
        <v>932</v>
      </c>
      <c r="J855" t="s">
        <v>59</v>
      </c>
      <c r="K855" t="s">
        <v>60</v>
      </c>
      <c r="L855" s="3">
        <f>IF(Sales_Table[[#This Row],[Revenue]]=0,0,Sales_Table[[#This Row],[Revenue]]/Sales_Table[[#This Row],[Profit]])</f>
        <v>8.7043596730245234</v>
      </c>
    </row>
    <row r="856" spans="1:12" x14ac:dyDescent="0.5">
      <c r="A856" t="s">
        <v>933</v>
      </c>
      <c r="B856">
        <v>9869</v>
      </c>
      <c r="C856">
        <v>4299</v>
      </c>
      <c r="D856">
        <v>12</v>
      </c>
      <c r="E856" t="s">
        <v>10</v>
      </c>
      <c r="F856" t="s">
        <v>22</v>
      </c>
      <c r="G856" t="s">
        <v>26</v>
      </c>
      <c r="H856" s="1">
        <v>45006</v>
      </c>
      <c r="I856" t="s">
        <v>934</v>
      </c>
      <c r="J856" t="s">
        <v>34</v>
      </c>
      <c r="K856" t="s">
        <v>62</v>
      </c>
      <c r="L856" s="3">
        <f>IF(Sales_Table[[#This Row],[Revenue]]=0,0,Sales_Table[[#This Row],[Revenue]]/Sales_Table[[#This Row],[Profit]])</f>
        <v>2.295650151197953</v>
      </c>
    </row>
    <row r="857" spans="1:12" x14ac:dyDescent="0.5">
      <c r="A857" t="s">
        <v>933</v>
      </c>
      <c r="B857">
        <v>9869</v>
      </c>
      <c r="C857">
        <v>4299</v>
      </c>
      <c r="D857">
        <v>12</v>
      </c>
      <c r="E857" t="s">
        <v>10</v>
      </c>
      <c r="F857" t="s">
        <v>22</v>
      </c>
      <c r="G857" t="s">
        <v>26</v>
      </c>
      <c r="H857" s="1">
        <v>45288</v>
      </c>
      <c r="I857" t="s">
        <v>935</v>
      </c>
      <c r="J857" t="s">
        <v>20</v>
      </c>
      <c r="K857" t="s">
        <v>21</v>
      </c>
      <c r="L857" s="3">
        <f>IF(Sales_Table[[#This Row],[Revenue]]=0,0,Sales_Table[[#This Row],[Revenue]]/Sales_Table[[#This Row],[Profit]])</f>
        <v>2.295650151197953</v>
      </c>
    </row>
    <row r="858" spans="1:12" x14ac:dyDescent="0.5">
      <c r="A858" t="s">
        <v>936</v>
      </c>
      <c r="B858">
        <v>655</v>
      </c>
      <c r="C858">
        <v>297</v>
      </c>
      <c r="D858">
        <v>4</v>
      </c>
      <c r="E858" t="s">
        <v>24</v>
      </c>
      <c r="F858" t="s">
        <v>46</v>
      </c>
      <c r="G858" t="s">
        <v>26</v>
      </c>
      <c r="H858" s="1">
        <v>44607</v>
      </c>
      <c r="I858" t="s">
        <v>937</v>
      </c>
      <c r="J858" t="s">
        <v>20</v>
      </c>
      <c r="K858" t="s">
        <v>21</v>
      </c>
      <c r="L858" s="3">
        <f>IF(Sales_Table[[#This Row],[Revenue]]=0,0,Sales_Table[[#This Row],[Revenue]]/Sales_Table[[#This Row],[Profit]])</f>
        <v>2.2053872053872055</v>
      </c>
    </row>
    <row r="859" spans="1:12" x14ac:dyDescent="0.5">
      <c r="A859" t="s">
        <v>936</v>
      </c>
      <c r="B859">
        <v>655</v>
      </c>
      <c r="C859">
        <v>297</v>
      </c>
      <c r="D859">
        <v>4</v>
      </c>
      <c r="E859" t="s">
        <v>24</v>
      </c>
      <c r="F859" t="s">
        <v>46</v>
      </c>
      <c r="G859" t="s">
        <v>26</v>
      </c>
      <c r="H859" s="1">
        <v>45260</v>
      </c>
      <c r="I859" t="s">
        <v>938</v>
      </c>
      <c r="J859" t="s">
        <v>14</v>
      </c>
      <c r="K859" t="s">
        <v>28</v>
      </c>
      <c r="L859" s="3">
        <f>IF(Sales_Table[[#This Row],[Revenue]]=0,0,Sales_Table[[#This Row],[Revenue]]/Sales_Table[[#This Row],[Profit]])</f>
        <v>2.2053872053872055</v>
      </c>
    </row>
    <row r="860" spans="1:12" x14ac:dyDescent="0.5">
      <c r="A860" t="s">
        <v>939</v>
      </c>
      <c r="B860">
        <v>798</v>
      </c>
      <c r="C860">
        <v>308</v>
      </c>
      <c r="D860">
        <v>10</v>
      </c>
      <c r="E860" t="s">
        <v>10</v>
      </c>
      <c r="F860" t="s">
        <v>67</v>
      </c>
      <c r="G860" t="s">
        <v>26</v>
      </c>
      <c r="H860" s="1">
        <v>44938</v>
      </c>
      <c r="I860" t="s">
        <v>940</v>
      </c>
      <c r="J860" t="s">
        <v>20</v>
      </c>
      <c r="K860" t="s">
        <v>21</v>
      </c>
      <c r="L860" s="3">
        <f>IF(Sales_Table[[#This Row],[Revenue]]=0,0,Sales_Table[[#This Row],[Revenue]]/Sales_Table[[#This Row],[Profit]])</f>
        <v>2.5909090909090908</v>
      </c>
    </row>
    <row r="861" spans="1:12" x14ac:dyDescent="0.5">
      <c r="A861" t="s">
        <v>939</v>
      </c>
      <c r="B861">
        <v>798</v>
      </c>
      <c r="C861">
        <v>308</v>
      </c>
      <c r="D861">
        <v>10</v>
      </c>
      <c r="E861" t="s">
        <v>10</v>
      </c>
      <c r="F861" t="s">
        <v>67</v>
      </c>
      <c r="G861" t="s">
        <v>26</v>
      </c>
      <c r="H861" s="1">
        <v>45065</v>
      </c>
      <c r="I861" t="s">
        <v>941</v>
      </c>
      <c r="J861" t="s">
        <v>79</v>
      </c>
      <c r="K861" t="s">
        <v>94</v>
      </c>
      <c r="L861" s="3">
        <f>IF(Sales_Table[[#This Row],[Revenue]]=0,0,Sales_Table[[#This Row],[Revenue]]/Sales_Table[[#This Row],[Profit]])</f>
        <v>2.5909090909090908</v>
      </c>
    </row>
    <row r="862" spans="1:12" x14ac:dyDescent="0.5">
      <c r="A862" t="s">
        <v>939</v>
      </c>
      <c r="B862">
        <v>7967</v>
      </c>
      <c r="C862">
        <v>2504</v>
      </c>
      <c r="D862">
        <v>13</v>
      </c>
      <c r="E862" t="s">
        <v>10</v>
      </c>
      <c r="F862" t="s">
        <v>22</v>
      </c>
      <c r="G862" t="s">
        <v>32</v>
      </c>
      <c r="H862" s="1">
        <v>44938</v>
      </c>
      <c r="I862" t="s">
        <v>940</v>
      </c>
      <c r="J862" t="s">
        <v>20</v>
      </c>
      <c r="K862" t="s">
        <v>21</v>
      </c>
      <c r="L862" s="3">
        <f>IF(Sales_Table[[#This Row],[Revenue]]=0,0,Sales_Table[[#This Row],[Revenue]]/Sales_Table[[#This Row],[Profit]])</f>
        <v>3.1817092651757188</v>
      </c>
    </row>
    <row r="863" spans="1:12" x14ac:dyDescent="0.5">
      <c r="A863" t="s">
        <v>939</v>
      </c>
      <c r="B863">
        <v>7967</v>
      </c>
      <c r="C863">
        <v>2504</v>
      </c>
      <c r="D863">
        <v>13</v>
      </c>
      <c r="E863" t="s">
        <v>10</v>
      </c>
      <c r="F863" t="s">
        <v>22</v>
      </c>
      <c r="G863" t="s">
        <v>32</v>
      </c>
      <c r="H863" s="1">
        <v>45065</v>
      </c>
      <c r="I863" t="s">
        <v>941</v>
      </c>
      <c r="J863" t="s">
        <v>79</v>
      </c>
      <c r="K863" t="s">
        <v>94</v>
      </c>
      <c r="L863" s="3">
        <f>IF(Sales_Table[[#This Row],[Revenue]]=0,0,Sales_Table[[#This Row],[Revenue]]/Sales_Table[[#This Row],[Profit]])</f>
        <v>3.1817092651757188</v>
      </c>
    </row>
    <row r="864" spans="1:12" x14ac:dyDescent="0.5">
      <c r="A864" t="s">
        <v>942</v>
      </c>
      <c r="B864">
        <v>3756</v>
      </c>
      <c r="C864">
        <v>1318</v>
      </c>
      <c r="D864">
        <v>5</v>
      </c>
      <c r="E864" t="s">
        <v>36</v>
      </c>
      <c r="F864" t="s">
        <v>37</v>
      </c>
      <c r="G864" t="s">
        <v>12</v>
      </c>
      <c r="H864" s="1">
        <v>45341</v>
      </c>
      <c r="I864" t="s">
        <v>943</v>
      </c>
      <c r="J864" t="s">
        <v>14</v>
      </c>
      <c r="K864" t="s">
        <v>15</v>
      </c>
      <c r="L864" s="3">
        <f>IF(Sales_Table[[#This Row],[Revenue]]=0,0,Sales_Table[[#This Row],[Revenue]]/Sales_Table[[#This Row],[Profit]])</f>
        <v>2.849772382397572</v>
      </c>
    </row>
    <row r="865" spans="1:12" x14ac:dyDescent="0.5">
      <c r="A865" t="s">
        <v>944</v>
      </c>
      <c r="B865">
        <v>5196</v>
      </c>
      <c r="C865">
        <v>2477</v>
      </c>
      <c r="D865">
        <v>1</v>
      </c>
      <c r="E865" t="s">
        <v>24</v>
      </c>
      <c r="F865" t="s">
        <v>46</v>
      </c>
      <c r="G865" t="s">
        <v>12</v>
      </c>
      <c r="H865" s="1">
        <v>44531</v>
      </c>
      <c r="I865" t="s">
        <v>945</v>
      </c>
      <c r="J865" t="s">
        <v>59</v>
      </c>
      <c r="K865" t="s">
        <v>71</v>
      </c>
      <c r="L865" s="3">
        <f>IF(Sales_Table[[#This Row],[Revenue]]=0,0,Sales_Table[[#This Row],[Revenue]]/Sales_Table[[#This Row],[Profit]])</f>
        <v>2.0976988292289058</v>
      </c>
    </row>
    <row r="866" spans="1:12" x14ac:dyDescent="0.5">
      <c r="A866" t="s">
        <v>944</v>
      </c>
      <c r="B866">
        <v>6586</v>
      </c>
      <c r="C866">
        <v>1794</v>
      </c>
      <c r="D866">
        <v>19</v>
      </c>
      <c r="E866" t="s">
        <v>36</v>
      </c>
      <c r="F866" t="s">
        <v>87</v>
      </c>
      <c r="G866" t="s">
        <v>26</v>
      </c>
      <c r="H866" s="1">
        <v>44531</v>
      </c>
      <c r="I866" t="s">
        <v>945</v>
      </c>
      <c r="J866" t="s">
        <v>59</v>
      </c>
      <c r="K866" t="s">
        <v>71</v>
      </c>
      <c r="L866" s="3">
        <f>IF(Sales_Table[[#This Row],[Revenue]]=0,0,Sales_Table[[#This Row],[Revenue]]/Sales_Table[[#This Row],[Profit]])</f>
        <v>3.6711259754738017</v>
      </c>
    </row>
    <row r="867" spans="1:12" x14ac:dyDescent="0.5">
      <c r="A867" t="s">
        <v>946</v>
      </c>
      <c r="B867">
        <v>6673</v>
      </c>
      <c r="C867">
        <v>950</v>
      </c>
      <c r="D867">
        <v>19</v>
      </c>
      <c r="E867" t="s">
        <v>24</v>
      </c>
      <c r="F867" t="s">
        <v>46</v>
      </c>
      <c r="G867" t="s">
        <v>32</v>
      </c>
      <c r="H867" s="1">
        <v>45645</v>
      </c>
      <c r="I867" t="s">
        <v>947</v>
      </c>
      <c r="J867" t="s">
        <v>20</v>
      </c>
      <c r="K867" t="s">
        <v>21</v>
      </c>
      <c r="L867" s="3">
        <f>IF(Sales_Table[[#This Row],[Revenue]]=0,0,Sales_Table[[#This Row],[Revenue]]/Sales_Table[[#This Row],[Profit]])</f>
        <v>7.0242105263157892</v>
      </c>
    </row>
    <row r="868" spans="1:12" x14ac:dyDescent="0.5">
      <c r="A868" t="s">
        <v>948</v>
      </c>
      <c r="B868">
        <v>714</v>
      </c>
      <c r="C868">
        <v>232</v>
      </c>
      <c r="D868">
        <v>14</v>
      </c>
      <c r="E868" t="s">
        <v>36</v>
      </c>
      <c r="F868" t="s">
        <v>37</v>
      </c>
      <c r="G868" t="s">
        <v>12</v>
      </c>
      <c r="H868" s="1">
        <v>44944</v>
      </c>
      <c r="I868" t="s">
        <v>949</v>
      </c>
      <c r="J868" t="s">
        <v>79</v>
      </c>
      <c r="K868" t="s">
        <v>80</v>
      </c>
      <c r="L868" s="3">
        <f>IF(Sales_Table[[#This Row],[Revenue]]=0,0,Sales_Table[[#This Row],[Revenue]]/Sales_Table[[#This Row],[Profit]])</f>
        <v>3.0775862068965516</v>
      </c>
    </row>
    <row r="869" spans="1:12" x14ac:dyDescent="0.5">
      <c r="A869" t="s">
        <v>948</v>
      </c>
      <c r="B869">
        <v>714</v>
      </c>
      <c r="C869">
        <v>232</v>
      </c>
      <c r="D869">
        <v>14</v>
      </c>
      <c r="E869" t="s">
        <v>36</v>
      </c>
      <c r="F869" t="s">
        <v>37</v>
      </c>
      <c r="G869" t="s">
        <v>12</v>
      </c>
      <c r="H869" s="1">
        <v>44188</v>
      </c>
      <c r="I869" t="s">
        <v>950</v>
      </c>
      <c r="J869" t="s">
        <v>59</v>
      </c>
      <c r="K869" t="s">
        <v>71</v>
      </c>
      <c r="L869" s="3">
        <f>IF(Sales_Table[[#This Row],[Revenue]]=0,0,Sales_Table[[#This Row],[Revenue]]/Sales_Table[[#This Row],[Profit]])</f>
        <v>3.0775862068965516</v>
      </c>
    </row>
    <row r="870" spans="1:12" x14ac:dyDescent="0.5">
      <c r="A870" t="s">
        <v>951</v>
      </c>
      <c r="B870">
        <v>1083</v>
      </c>
      <c r="C870">
        <v>501</v>
      </c>
      <c r="D870">
        <v>6</v>
      </c>
      <c r="E870" t="s">
        <v>24</v>
      </c>
      <c r="F870" t="s">
        <v>25</v>
      </c>
      <c r="G870" t="s">
        <v>53</v>
      </c>
      <c r="H870" s="1">
        <v>44255</v>
      </c>
      <c r="I870" t="s">
        <v>952</v>
      </c>
      <c r="J870" t="s">
        <v>59</v>
      </c>
      <c r="K870" t="s">
        <v>71</v>
      </c>
      <c r="L870" s="3">
        <f>IF(Sales_Table[[#This Row],[Revenue]]=0,0,Sales_Table[[#This Row],[Revenue]]/Sales_Table[[#This Row],[Profit]])</f>
        <v>2.1616766467065869</v>
      </c>
    </row>
    <row r="871" spans="1:12" x14ac:dyDescent="0.5">
      <c r="A871" t="s">
        <v>953</v>
      </c>
      <c r="B871">
        <v>2401</v>
      </c>
      <c r="C871">
        <v>1163</v>
      </c>
      <c r="D871">
        <v>10</v>
      </c>
      <c r="E871" t="s">
        <v>36</v>
      </c>
      <c r="F871" t="s">
        <v>87</v>
      </c>
      <c r="G871" t="s">
        <v>12</v>
      </c>
      <c r="H871" s="1">
        <v>45050</v>
      </c>
      <c r="I871" t="s">
        <v>954</v>
      </c>
      <c r="J871" t="s">
        <v>79</v>
      </c>
      <c r="K871" t="s">
        <v>94</v>
      </c>
      <c r="L871" s="3">
        <f>IF(Sales_Table[[#This Row],[Revenue]]=0,0,Sales_Table[[#This Row],[Revenue]]/Sales_Table[[#This Row],[Profit]])</f>
        <v>2.0644883920894239</v>
      </c>
    </row>
    <row r="872" spans="1:12" x14ac:dyDescent="0.5">
      <c r="A872" t="s">
        <v>953</v>
      </c>
      <c r="B872">
        <v>2401</v>
      </c>
      <c r="C872">
        <v>1163</v>
      </c>
      <c r="D872">
        <v>10</v>
      </c>
      <c r="E872" t="s">
        <v>36</v>
      </c>
      <c r="F872" t="s">
        <v>87</v>
      </c>
      <c r="G872" t="s">
        <v>12</v>
      </c>
      <c r="H872" s="1">
        <v>43943</v>
      </c>
      <c r="I872" t="s">
        <v>955</v>
      </c>
      <c r="J872" t="s">
        <v>34</v>
      </c>
      <c r="K872" t="s">
        <v>35</v>
      </c>
      <c r="L872" s="3">
        <f>IF(Sales_Table[[#This Row],[Revenue]]=0,0,Sales_Table[[#This Row],[Revenue]]/Sales_Table[[#This Row],[Profit]])</f>
        <v>2.0644883920894239</v>
      </c>
    </row>
    <row r="873" spans="1:12" x14ac:dyDescent="0.5">
      <c r="A873" t="s">
        <v>953</v>
      </c>
      <c r="B873">
        <v>2401</v>
      </c>
      <c r="C873">
        <v>1163</v>
      </c>
      <c r="D873">
        <v>10</v>
      </c>
      <c r="E873" t="s">
        <v>36</v>
      </c>
      <c r="F873" t="s">
        <v>87</v>
      </c>
      <c r="G873" t="s">
        <v>12</v>
      </c>
      <c r="H873" s="1">
        <v>44421</v>
      </c>
      <c r="I873" t="s">
        <v>956</v>
      </c>
      <c r="J873" t="s">
        <v>20</v>
      </c>
      <c r="K873" t="s">
        <v>56</v>
      </c>
      <c r="L873" s="3">
        <f>IF(Sales_Table[[#This Row],[Revenue]]=0,0,Sales_Table[[#This Row],[Revenue]]/Sales_Table[[#This Row],[Profit]])</f>
        <v>2.0644883920894239</v>
      </c>
    </row>
    <row r="874" spans="1:12" x14ac:dyDescent="0.5">
      <c r="A874" t="s">
        <v>953</v>
      </c>
      <c r="B874">
        <v>1045</v>
      </c>
      <c r="C874">
        <v>267</v>
      </c>
      <c r="D874">
        <v>11</v>
      </c>
      <c r="E874" t="s">
        <v>10</v>
      </c>
      <c r="F874" t="s">
        <v>67</v>
      </c>
      <c r="G874" t="s">
        <v>26</v>
      </c>
      <c r="H874" s="1">
        <v>45050</v>
      </c>
      <c r="I874" t="s">
        <v>954</v>
      </c>
      <c r="J874" t="s">
        <v>79</v>
      </c>
      <c r="K874" t="s">
        <v>94</v>
      </c>
      <c r="L874" s="3">
        <f>IF(Sales_Table[[#This Row],[Revenue]]=0,0,Sales_Table[[#This Row],[Revenue]]/Sales_Table[[#This Row],[Profit]])</f>
        <v>3.9138576779026217</v>
      </c>
    </row>
    <row r="875" spans="1:12" x14ac:dyDescent="0.5">
      <c r="A875" t="s">
        <v>953</v>
      </c>
      <c r="B875">
        <v>1045</v>
      </c>
      <c r="C875">
        <v>267</v>
      </c>
      <c r="D875">
        <v>11</v>
      </c>
      <c r="E875" t="s">
        <v>10</v>
      </c>
      <c r="F875" t="s">
        <v>67</v>
      </c>
      <c r="G875" t="s">
        <v>26</v>
      </c>
      <c r="H875" s="1">
        <v>43943</v>
      </c>
      <c r="I875" t="s">
        <v>955</v>
      </c>
      <c r="J875" t="s">
        <v>34</v>
      </c>
      <c r="K875" t="s">
        <v>35</v>
      </c>
      <c r="L875" s="3">
        <f>IF(Sales_Table[[#This Row],[Revenue]]=0,0,Sales_Table[[#This Row],[Revenue]]/Sales_Table[[#This Row],[Profit]])</f>
        <v>3.9138576779026217</v>
      </c>
    </row>
    <row r="876" spans="1:12" x14ac:dyDescent="0.5">
      <c r="A876" t="s">
        <v>953</v>
      </c>
      <c r="B876">
        <v>1045</v>
      </c>
      <c r="C876">
        <v>267</v>
      </c>
      <c r="D876">
        <v>11</v>
      </c>
      <c r="E876" t="s">
        <v>10</v>
      </c>
      <c r="F876" t="s">
        <v>67</v>
      </c>
      <c r="G876" t="s">
        <v>26</v>
      </c>
      <c r="H876" s="1">
        <v>44421</v>
      </c>
      <c r="I876" t="s">
        <v>956</v>
      </c>
      <c r="J876" t="s">
        <v>20</v>
      </c>
      <c r="K876" t="s">
        <v>56</v>
      </c>
      <c r="L876" s="3">
        <f>IF(Sales_Table[[#This Row],[Revenue]]=0,0,Sales_Table[[#This Row],[Revenue]]/Sales_Table[[#This Row],[Profit]])</f>
        <v>3.9138576779026217</v>
      </c>
    </row>
    <row r="877" spans="1:12" x14ac:dyDescent="0.5">
      <c r="A877" t="s">
        <v>957</v>
      </c>
      <c r="B877">
        <v>7806</v>
      </c>
      <c r="C877">
        <v>1127</v>
      </c>
      <c r="D877">
        <v>1</v>
      </c>
      <c r="E877" t="s">
        <v>24</v>
      </c>
      <c r="F877" t="s">
        <v>46</v>
      </c>
      <c r="G877" t="s">
        <v>38</v>
      </c>
      <c r="H877" s="1">
        <v>45127</v>
      </c>
      <c r="I877" t="s">
        <v>958</v>
      </c>
      <c r="J877" t="s">
        <v>59</v>
      </c>
      <c r="K877" t="s">
        <v>60</v>
      </c>
      <c r="L877" s="3">
        <f>IF(Sales_Table[[#This Row],[Revenue]]=0,0,Sales_Table[[#This Row],[Revenue]]/Sales_Table[[#This Row],[Profit]])</f>
        <v>6.9263531499556343</v>
      </c>
    </row>
    <row r="878" spans="1:12" x14ac:dyDescent="0.5">
      <c r="A878" t="s">
        <v>959</v>
      </c>
      <c r="B878">
        <v>5263</v>
      </c>
      <c r="C878">
        <v>1743</v>
      </c>
      <c r="D878">
        <v>19</v>
      </c>
      <c r="E878" t="s">
        <v>36</v>
      </c>
      <c r="F878" t="s">
        <v>48</v>
      </c>
      <c r="G878" t="s">
        <v>38</v>
      </c>
      <c r="H878" s="1">
        <v>44801</v>
      </c>
      <c r="I878" t="s">
        <v>960</v>
      </c>
      <c r="J878" t="s">
        <v>14</v>
      </c>
      <c r="K878" t="s">
        <v>15</v>
      </c>
      <c r="L878" s="3">
        <f>IF(Sales_Table[[#This Row],[Revenue]]=0,0,Sales_Table[[#This Row],[Revenue]]/Sales_Table[[#This Row],[Profit]])</f>
        <v>3.0195065978198508</v>
      </c>
    </row>
    <row r="879" spans="1:12" x14ac:dyDescent="0.5">
      <c r="A879" t="s">
        <v>961</v>
      </c>
      <c r="B879">
        <v>6147</v>
      </c>
      <c r="C879">
        <v>2526</v>
      </c>
      <c r="D879">
        <v>6</v>
      </c>
      <c r="E879" t="s">
        <v>24</v>
      </c>
      <c r="F879" t="s">
        <v>25</v>
      </c>
      <c r="G879" t="s">
        <v>26</v>
      </c>
      <c r="H879" s="1">
        <v>44999</v>
      </c>
      <c r="I879" t="s">
        <v>962</v>
      </c>
      <c r="J879" t="s">
        <v>59</v>
      </c>
      <c r="K879" t="s">
        <v>60</v>
      </c>
      <c r="L879" s="3">
        <f>IF(Sales_Table[[#This Row],[Revenue]]=0,0,Sales_Table[[#This Row],[Revenue]]/Sales_Table[[#This Row],[Profit]])</f>
        <v>2.4334916864608074</v>
      </c>
    </row>
    <row r="880" spans="1:12" x14ac:dyDescent="0.5">
      <c r="A880" t="s">
        <v>963</v>
      </c>
      <c r="B880">
        <v>7484</v>
      </c>
      <c r="C880">
        <v>2871</v>
      </c>
      <c r="D880">
        <v>15</v>
      </c>
      <c r="E880" t="s">
        <v>10</v>
      </c>
      <c r="F880" t="s">
        <v>67</v>
      </c>
      <c r="G880" t="s">
        <v>12</v>
      </c>
      <c r="H880" s="1">
        <v>45237</v>
      </c>
      <c r="I880" t="s">
        <v>964</v>
      </c>
      <c r="J880" t="s">
        <v>14</v>
      </c>
      <c r="K880" t="s">
        <v>28</v>
      </c>
      <c r="L880" s="3">
        <f>IF(Sales_Table[[#This Row],[Revenue]]=0,0,Sales_Table[[#This Row],[Revenue]]/Sales_Table[[#This Row],[Profit]])</f>
        <v>2.6067572274468827</v>
      </c>
    </row>
    <row r="881" spans="1:12" x14ac:dyDescent="0.5">
      <c r="A881" t="s">
        <v>963</v>
      </c>
      <c r="B881">
        <v>7484</v>
      </c>
      <c r="C881">
        <v>2871</v>
      </c>
      <c r="D881">
        <v>15</v>
      </c>
      <c r="E881" t="s">
        <v>10</v>
      </c>
      <c r="F881" t="s">
        <v>67</v>
      </c>
      <c r="G881" t="s">
        <v>12</v>
      </c>
      <c r="H881" s="1">
        <v>45398</v>
      </c>
      <c r="I881" t="s">
        <v>965</v>
      </c>
      <c r="J881" t="s">
        <v>17</v>
      </c>
      <c r="K881" t="s">
        <v>18</v>
      </c>
      <c r="L881" s="3">
        <f>IF(Sales_Table[[#This Row],[Revenue]]=0,0,Sales_Table[[#This Row],[Revenue]]/Sales_Table[[#This Row],[Profit]])</f>
        <v>2.6067572274468827</v>
      </c>
    </row>
    <row r="882" spans="1:12" x14ac:dyDescent="0.5">
      <c r="A882" t="s">
        <v>963</v>
      </c>
      <c r="B882">
        <v>7700</v>
      </c>
      <c r="C882">
        <v>2712</v>
      </c>
      <c r="D882">
        <v>1</v>
      </c>
      <c r="E882" t="s">
        <v>36</v>
      </c>
      <c r="F882" t="s">
        <v>48</v>
      </c>
      <c r="G882" t="s">
        <v>38</v>
      </c>
      <c r="H882" s="1">
        <v>45237</v>
      </c>
      <c r="I882" t="s">
        <v>964</v>
      </c>
      <c r="J882" t="s">
        <v>14</v>
      </c>
      <c r="K882" t="s">
        <v>28</v>
      </c>
      <c r="L882" s="3">
        <f>IF(Sales_Table[[#This Row],[Revenue]]=0,0,Sales_Table[[#This Row],[Revenue]]/Sales_Table[[#This Row],[Profit]])</f>
        <v>2.8392330383480826</v>
      </c>
    </row>
    <row r="883" spans="1:12" x14ac:dyDescent="0.5">
      <c r="A883" t="s">
        <v>963</v>
      </c>
      <c r="B883">
        <v>7700</v>
      </c>
      <c r="C883">
        <v>2712</v>
      </c>
      <c r="D883">
        <v>1</v>
      </c>
      <c r="E883" t="s">
        <v>36</v>
      </c>
      <c r="F883" t="s">
        <v>48</v>
      </c>
      <c r="G883" t="s">
        <v>38</v>
      </c>
      <c r="H883" s="1">
        <v>45398</v>
      </c>
      <c r="I883" t="s">
        <v>965</v>
      </c>
      <c r="J883" t="s">
        <v>17</v>
      </c>
      <c r="K883" t="s">
        <v>18</v>
      </c>
      <c r="L883" s="3">
        <f>IF(Sales_Table[[#This Row],[Revenue]]=0,0,Sales_Table[[#This Row],[Revenue]]/Sales_Table[[#This Row],[Profit]])</f>
        <v>2.8392330383480826</v>
      </c>
    </row>
    <row r="884" spans="1:12" x14ac:dyDescent="0.5">
      <c r="A884" t="s">
        <v>966</v>
      </c>
      <c r="B884">
        <v>8537</v>
      </c>
      <c r="C884">
        <v>3586</v>
      </c>
      <c r="D884">
        <v>13</v>
      </c>
      <c r="E884" t="s">
        <v>24</v>
      </c>
      <c r="F884" t="s">
        <v>46</v>
      </c>
      <c r="G884" t="s">
        <v>12</v>
      </c>
      <c r="H884" s="1">
        <v>44820</v>
      </c>
      <c r="I884" t="s">
        <v>967</v>
      </c>
      <c r="J884" t="s">
        <v>20</v>
      </c>
      <c r="K884" t="s">
        <v>56</v>
      </c>
      <c r="L884" s="3">
        <f>IF(Sales_Table[[#This Row],[Revenue]]=0,0,Sales_Table[[#This Row],[Revenue]]/Sales_Table[[#This Row],[Profit]])</f>
        <v>2.3806469604015614</v>
      </c>
    </row>
    <row r="885" spans="1:12" x14ac:dyDescent="0.5">
      <c r="A885" t="s">
        <v>968</v>
      </c>
      <c r="B885">
        <v>8858</v>
      </c>
      <c r="C885">
        <v>3394</v>
      </c>
      <c r="D885">
        <v>6</v>
      </c>
      <c r="E885" t="s">
        <v>36</v>
      </c>
      <c r="F885" t="s">
        <v>40</v>
      </c>
      <c r="G885" t="s">
        <v>53</v>
      </c>
      <c r="H885" s="1">
        <v>45596</v>
      </c>
      <c r="I885" t="s">
        <v>969</v>
      </c>
      <c r="J885" t="s">
        <v>34</v>
      </c>
      <c r="K885" t="s">
        <v>62</v>
      </c>
      <c r="L885" s="3">
        <f>IF(Sales_Table[[#This Row],[Revenue]]=0,0,Sales_Table[[#This Row],[Revenue]]/Sales_Table[[#This Row],[Profit]])</f>
        <v>2.6098998232174426</v>
      </c>
    </row>
    <row r="886" spans="1:12" x14ac:dyDescent="0.5">
      <c r="A886" t="s">
        <v>970</v>
      </c>
      <c r="B886">
        <v>5313</v>
      </c>
      <c r="C886">
        <v>2037</v>
      </c>
      <c r="D886">
        <v>7</v>
      </c>
      <c r="E886" t="s">
        <v>10</v>
      </c>
      <c r="F886" t="s">
        <v>22</v>
      </c>
      <c r="G886" t="s">
        <v>26</v>
      </c>
      <c r="H886" s="1">
        <v>45621</v>
      </c>
      <c r="I886" t="s">
        <v>971</v>
      </c>
      <c r="J886" t="s">
        <v>34</v>
      </c>
      <c r="K886" t="s">
        <v>75</v>
      </c>
      <c r="L886" s="3">
        <f>IF(Sales_Table[[#This Row],[Revenue]]=0,0,Sales_Table[[#This Row],[Revenue]]/Sales_Table[[#This Row],[Profit]])</f>
        <v>2.6082474226804124</v>
      </c>
    </row>
    <row r="887" spans="1:12" x14ac:dyDescent="0.5">
      <c r="A887" t="s">
        <v>970</v>
      </c>
      <c r="B887">
        <v>5313</v>
      </c>
      <c r="C887">
        <v>2037</v>
      </c>
      <c r="D887">
        <v>7</v>
      </c>
      <c r="E887" t="s">
        <v>10</v>
      </c>
      <c r="F887" t="s">
        <v>22</v>
      </c>
      <c r="G887" t="s">
        <v>26</v>
      </c>
      <c r="H887" s="1">
        <v>44498</v>
      </c>
      <c r="I887" t="s">
        <v>972</v>
      </c>
      <c r="J887" t="s">
        <v>59</v>
      </c>
      <c r="K887" t="s">
        <v>108</v>
      </c>
      <c r="L887" s="3">
        <f>IF(Sales_Table[[#This Row],[Revenue]]=0,0,Sales_Table[[#This Row],[Revenue]]/Sales_Table[[#This Row],[Profit]])</f>
        <v>2.6082474226804124</v>
      </c>
    </row>
    <row r="888" spans="1:12" x14ac:dyDescent="0.5">
      <c r="A888" t="s">
        <v>973</v>
      </c>
      <c r="B888">
        <v>3281</v>
      </c>
      <c r="C888">
        <v>471</v>
      </c>
      <c r="D888">
        <v>7</v>
      </c>
      <c r="E888" t="s">
        <v>36</v>
      </c>
      <c r="F888" t="s">
        <v>48</v>
      </c>
      <c r="G888" t="s">
        <v>32</v>
      </c>
      <c r="H888" s="1">
        <v>45287</v>
      </c>
      <c r="I888" t="s">
        <v>974</v>
      </c>
      <c r="J888" t="s">
        <v>34</v>
      </c>
      <c r="K888" t="s">
        <v>35</v>
      </c>
      <c r="L888" s="3">
        <f>IF(Sales_Table[[#This Row],[Revenue]]=0,0,Sales_Table[[#This Row],[Revenue]]/Sales_Table[[#This Row],[Profit]])</f>
        <v>6.9660297239915074</v>
      </c>
    </row>
    <row r="889" spans="1:12" x14ac:dyDescent="0.5">
      <c r="A889" t="s">
        <v>973</v>
      </c>
      <c r="B889">
        <v>3281</v>
      </c>
      <c r="C889">
        <v>471</v>
      </c>
      <c r="D889">
        <v>7</v>
      </c>
      <c r="E889" t="s">
        <v>36</v>
      </c>
      <c r="F889" t="s">
        <v>48</v>
      </c>
      <c r="G889" t="s">
        <v>32</v>
      </c>
      <c r="H889" s="1">
        <v>45102</v>
      </c>
      <c r="I889" t="s">
        <v>975</v>
      </c>
      <c r="J889" t="s">
        <v>17</v>
      </c>
      <c r="K889" t="s">
        <v>134</v>
      </c>
      <c r="L889" s="3">
        <f>IF(Sales_Table[[#This Row],[Revenue]]=0,0,Sales_Table[[#This Row],[Revenue]]/Sales_Table[[#This Row],[Profit]])</f>
        <v>6.9660297239915074</v>
      </c>
    </row>
    <row r="890" spans="1:12" x14ac:dyDescent="0.5">
      <c r="A890" t="s">
        <v>976</v>
      </c>
      <c r="B890">
        <v>8681</v>
      </c>
      <c r="C890">
        <v>2458</v>
      </c>
      <c r="D890">
        <v>9</v>
      </c>
      <c r="E890" t="s">
        <v>24</v>
      </c>
      <c r="F890" t="s">
        <v>25</v>
      </c>
      <c r="G890" t="s">
        <v>38</v>
      </c>
      <c r="H890" s="1">
        <v>44075</v>
      </c>
      <c r="I890" t="s">
        <v>977</v>
      </c>
      <c r="J890" t="s">
        <v>20</v>
      </c>
      <c r="K890" t="s">
        <v>42</v>
      </c>
      <c r="L890" s="3">
        <f>IF(Sales_Table[[#This Row],[Revenue]]=0,0,Sales_Table[[#This Row],[Revenue]]/Sales_Table[[#This Row],[Profit]])</f>
        <v>3.5317331163547601</v>
      </c>
    </row>
    <row r="891" spans="1:12" x14ac:dyDescent="0.5">
      <c r="A891" t="s">
        <v>978</v>
      </c>
      <c r="B891">
        <v>6195</v>
      </c>
      <c r="C891">
        <v>1556</v>
      </c>
      <c r="D891">
        <v>18</v>
      </c>
      <c r="E891" t="s">
        <v>36</v>
      </c>
      <c r="F891" t="s">
        <v>48</v>
      </c>
      <c r="G891" t="s">
        <v>32</v>
      </c>
      <c r="H891" s="1">
        <v>45689</v>
      </c>
      <c r="I891" t="s">
        <v>979</v>
      </c>
      <c r="J891" t="s">
        <v>17</v>
      </c>
      <c r="K891" t="s">
        <v>51</v>
      </c>
      <c r="L891" s="3">
        <f>IF(Sales_Table[[#This Row],[Revenue]]=0,0,Sales_Table[[#This Row],[Revenue]]/Sales_Table[[#This Row],[Profit]])</f>
        <v>3.9813624678663238</v>
      </c>
    </row>
    <row r="892" spans="1:12" x14ac:dyDescent="0.5">
      <c r="A892" t="s">
        <v>980</v>
      </c>
      <c r="B892">
        <v>3877</v>
      </c>
      <c r="C892">
        <v>481</v>
      </c>
      <c r="D892">
        <v>16</v>
      </c>
      <c r="E892" t="s">
        <v>36</v>
      </c>
      <c r="F892" t="s">
        <v>40</v>
      </c>
      <c r="G892" t="s">
        <v>26</v>
      </c>
      <c r="H892" s="1">
        <v>45129</v>
      </c>
      <c r="I892" t="s">
        <v>981</v>
      </c>
      <c r="J892" t="s">
        <v>20</v>
      </c>
      <c r="K892" t="s">
        <v>56</v>
      </c>
      <c r="L892" s="3">
        <f>IF(Sales_Table[[#This Row],[Revenue]]=0,0,Sales_Table[[#This Row],[Revenue]]/Sales_Table[[#This Row],[Profit]])</f>
        <v>8.0602910602910605</v>
      </c>
    </row>
    <row r="893" spans="1:12" x14ac:dyDescent="0.5">
      <c r="A893" t="s">
        <v>980</v>
      </c>
      <c r="B893">
        <v>3877</v>
      </c>
      <c r="C893">
        <v>481</v>
      </c>
      <c r="D893">
        <v>16</v>
      </c>
      <c r="E893" t="s">
        <v>36</v>
      </c>
      <c r="F893" t="s">
        <v>40</v>
      </c>
      <c r="G893" t="s">
        <v>26</v>
      </c>
      <c r="H893" s="1">
        <v>44596</v>
      </c>
      <c r="I893" t="s">
        <v>982</v>
      </c>
      <c r="J893" t="s">
        <v>20</v>
      </c>
      <c r="K893" t="s">
        <v>42</v>
      </c>
      <c r="L893" s="3">
        <f>IF(Sales_Table[[#This Row],[Revenue]]=0,0,Sales_Table[[#This Row],[Revenue]]/Sales_Table[[#This Row],[Profit]])</f>
        <v>8.0602910602910605</v>
      </c>
    </row>
    <row r="894" spans="1:12" x14ac:dyDescent="0.5">
      <c r="A894" t="s">
        <v>983</v>
      </c>
      <c r="B894">
        <v>9369</v>
      </c>
      <c r="C894">
        <v>3297</v>
      </c>
      <c r="D894">
        <v>6</v>
      </c>
      <c r="E894" t="s">
        <v>10</v>
      </c>
      <c r="F894" t="s">
        <v>22</v>
      </c>
      <c r="G894" t="s">
        <v>26</v>
      </c>
      <c r="H894" s="1">
        <v>45196</v>
      </c>
      <c r="I894" t="s">
        <v>984</v>
      </c>
      <c r="J894" t="s">
        <v>14</v>
      </c>
      <c r="K894" t="s">
        <v>28</v>
      </c>
      <c r="L894" s="3">
        <f>IF(Sales_Table[[#This Row],[Revenue]]=0,0,Sales_Table[[#This Row],[Revenue]]/Sales_Table[[#This Row],[Profit]])</f>
        <v>2.8416742493175615</v>
      </c>
    </row>
    <row r="895" spans="1:12" x14ac:dyDescent="0.5">
      <c r="A895" t="s">
        <v>983</v>
      </c>
      <c r="B895">
        <v>9369</v>
      </c>
      <c r="C895">
        <v>3297</v>
      </c>
      <c r="D895">
        <v>6</v>
      </c>
      <c r="E895" t="s">
        <v>10</v>
      </c>
      <c r="F895" t="s">
        <v>22</v>
      </c>
      <c r="G895" t="s">
        <v>26</v>
      </c>
      <c r="H895" s="1">
        <v>45687</v>
      </c>
      <c r="I895" t="s">
        <v>985</v>
      </c>
      <c r="J895" t="s">
        <v>20</v>
      </c>
      <c r="K895" t="s">
        <v>42</v>
      </c>
      <c r="L895" s="3">
        <f>IF(Sales_Table[[#This Row],[Revenue]]=0,0,Sales_Table[[#This Row],[Revenue]]/Sales_Table[[#This Row],[Profit]])</f>
        <v>2.8416742493175615</v>
      </c>
    </row>
    <row r="896" spans="1:12" x14ac:dyDescent="0.5">
      <c r="A896" t="s">
        <v>983</v>
      </c>
      <c r="B896">
        <v>8680</v>
      </c>
      <c r="C896">
        <v>4068</v>
      </c>
      <c r="D896">
        <v>20</v>
      </c>
      <c r="E896" t="s">
        <v>10</v>
      </c>
      <c r="F896" t="s">
        <v>22</v>
      </c>
      <c r="G896" t="s">
        <v>38</v>
      </c>
      <c r="H896" s="1">
        <v>45196</v>
      </c>
      <c r="I896" t="s">
        <v>984</v>
      </c>
      <c r="J896" t="s">
        <v>14</v>
      </c>
      <c r="K896" t="s">
        <v>28</v>
      </c>
      <c r="L896" s="3">
        <f>IF(Sales_Table[[#This Row],[Revenue]]=0,0,Sales_Table[[#This Row],[Revenue]]/Sales_Table[[#This Row],[Profit]])</f>
        <v>2.1337266470009832</v>
      </c>
    </row>
    <row r="897" spans="1:12" x14ac:dyDescent="0.5">
      <c r="A897" t="s">
        <v>983</v>
      </c>
      <c r="B897">
        <v>8680</v>
      </c>
      <c r="C897">
        <v>4068</v>
      </c>
      <c r="D897">
        <v>20</v>
      </c>
      <c r="E897" t="s">
        <v>10</v>
      </c>
      <c r="F897" t="s">
        <v>22</v>
      </c>
      <c r="G897" t="s">
        <v>38</v>
      </c>
      <c r="H897" s="1">
        <v>45687</v>
      </c>
      <c r="I897" t="s">
        <v>985</v>
      </c>
      <c r="J897" t="s">
        <v>20</v>
      </c>
      <c r="K897" t="s">
        <v>42</v>
      </c>
      <c r="L897" s="3">
        <f>IF(Sales_Table[[#This Row],[Revenue]]=0,0,Sales_Table[[#This Row],[Revenue]]/Sales_Table[[#This Row],[Profit]])</f>
        <v>2.1337266470009832</v>
      </c>
    </row>
    <row r="898" spans="1:12" x14ac:dyDescent="0.5">
      <c r="A898" t="s">
        <v>983</v>
      </c>
      <c r="B898">
        <v>3067</v>
      </c>
      <c r="C898">
        <v>1475</v>
      </c>
      <c r="D898">
        <v>8</v>
      </c>
      <c r="E898" t="s">
        <v>10</v>
      </c>
      <c r="F898" t="s">
        <v>31</v>
      </c>
      <c r="G898" t="s">
        <v>12</v>
      </c>
      <c r="H898" s="1">
        <v>45196</v>
      </c>
      <c r="I898" t="s">
        <v>984</v>
      </c>
      <c r="J898" t="s">
        <v>14</v>
      </c>
      <c r="K898" t="s">
        <v>28</v>
      </c>
      <c r="L898" s="3">
        <f>IF(Sales_Table[[#This Row],[Revenue]]=0,0,Sales_Table[[#This Row],[Revenue]]/Sales_Table[[#This Row],[Profit]])</f>
        <v>2.0793220338983049</v>
      </c>
    </row>
    <row r="899" spans="1:12" x14ac:dyDescent="0.5">
      <c r="A899" t="s">
        <v>983</v>
      </c>
      <c r="B899">
        <v>3067</v>
      </c>
      <c r="C899">
        <v>1475</v>
      </c>
      <c r="D899">
        <v>8</v>
      </c>
      <c r="E899" t="s">
        <v>10</v>
      </c>
      <c r="F899" t="s">
        <v>31</v>
      </c>
      <c r="G899" t="s">
        <v>12</v>
      </c>
      <c r="H899" s="1">
        <v>45687</v>
      </c>
      <c r="I899" t="s">
        <v>985</v>
      </c>
      <c r="J899" t="s">
        <v>20</v>
      </c>
      <c r="K899" t="s">
        <v>42</v>
      </c>
      <c r="L899" s="3">
        <f>IF(Sales_Table[[#This Row],[Revenue]]=0,0,Sales_Table[[#This Row],[Revenue]]/Sales_Table[[#This Row],[Profit]])</f>
        <v>2.0793220338983049</v>
      </c>
    </row>
    <row r="900" spans="1:12" x14ac:dyDescent="0.5">
      <c r="A900" t="s">
        <v>986</v>
      </c>
      <c r="B900">
        <v>9002</v>
      </c>
      <c r="C900">
        <v>4197</v>
      </c>
      <c r="D900">
        <v>2</v>
      </c>
      <c r="E900" t="s">
        <v>24</v>
      </c>
      <c r="F900" t="s">
        <v>46</v>
      </c>
      <c r="G900" t="s">
        <v>32</v>
      </c>
      <c r="H900" s="1">
        <v>45672</v>
      </c>
      <c r="I900" t="s">
        <v>987</v>
      </c>
      <c r="J900" t="s">
        <v>79</v>
      </c>
      <c r="K900" t="s">
        <v>86</v>
      </c>
      <c r="L900" s="3">
        <f>IF(Sales_Table[[#This Row],[Revenue]]=0,0,Sales_Table[[#This Row],[Revenue]]/Sales_Table[[#This Row],[Profit]])</f>
        <v>2.144865380033357</v>
      </c>
    </row>
    <row r="901" spans="1:12" x14ac:dyDescent="0.5">
      <c r="A901" t="s">
        <v>986</v>
      </c>
      <c r="B901">
        <v>9002</v>
      </c>
      <c r="C901">
        <v>4197</v>
      </c>
      <c r="D901">
        <v>2</v>
      </c>
      <c r="E901" t="s">
        <v>24</v>
      </c>
      <c r="F901" t="s">
        <v>46</v>
      </c>
      <c r="G901" t="s">
        <v>32</v>
      </c>
      <c r="H901" s="1">
        <v>44283</v>
      </c>
      <c r="I901" t="s">
        <v>988</v>
      </c>
      <c r="J901" t="s">
        <v>79</v>
      </c>
      <c r="K901" t="s">
        <v>80</v>
      </c>
      <c r="L901" s="3">
        <f>IF(Sales_Table[[#This Row],[Revenue]]=0,0,Sales_Table[[#This Row],[Revenue]]/Sales_Table[[#This Row],[Profit]])</f>
        <v>2.144865380033357</v>
      </c>
    </row>
    <row r="902" spans="1:12" x14ac:dyDescent="0.5">
      <c r="A902" t="s">
        <v>989</v>
      </c>
      <c r="B902">
        <v>7105</v>
      </c>
      <c r="C902">
        <v>2782</v>
      </c>
      <c r="D902">
        <v>19</v>
      </c>
      <c r="E902" t="s">
        <v>24</v>
      </c>
      <c r="F902" t="s">
        <v>25</v>
      </c>
      <c r="G902" t="s">
        <v>53</v>
      </c>
      <c r="H902" s="1">
        <v>44555</v>
      </c>
      <c r="I902" t="s">
        <v>990</v>
      </c>
      <c r="J902" t="s">
        <v>79</v>
      </c>
      <c r="K902" t="s">
        <v>80</v>
      </c>
      <c r="L902" s="3">
        <f>IF(Sales_Table[[#This Row],[Revenue]]=0,0,Sales_Table[[#This Row],[Revenue]]/Sales_Table[[#This Row],[Profit]])</f>
        <v>2.5539180445722502</v>
      </c>
    </row>
    <row r="903" spans="1:12" x14ac:dyDescent="0.5">
      <c r="A903" t="s">
        <v>991</v>
      </c>
      <c r="B903">
        <v>5317</v>
      </c>
      <c r="C903">
        <v>1345</v>
      </c>
      <c r="D903">
        <v>18</v>
      </c>
      <c r="E903" t="s">
        <v>36</v>
      </c>
      <c r="F903" t="s">
        <v>40</v>
      </c>
      <c r="G903" t="s">
        <v>26</v>
      </c>
      <c r="H903" s="1">
        <v>44960</v>
      </c>
      <c r="I903" t="s">
        <v>992</v>
      </c>
      <c r="J903" t="s">
        <v>79</v>
      </c>
      <c r="K903" t="s">
        <v>80</v>
      </c>
      <c r="L903" s="3">
        <f>IF(Sales_Table[[#This Row],[Revenue]]=0,0,Sales_Table[[#This Row],[Revenue]]/Sales_Table[[#This Row],[Profit]])</f>
        <v>3.9531598513011152</v>
      </c>
    </row>
    <row r="904" spans="1:12" x14ac:dyDescent="0.5">
      <c r="A904" t="s">
        <v>991</v>
      </c>
      <c r="B904">
        <v>5317</v>
      </c>
      <c r="C904">
        <v>1345</v>
      </c>
      <c r="D904">
        <v>18</v>
      </c>
      <c r="E904" t="s">
        <v>36</v>
      </c>
      <c r="F904" t="s">
        <v>40</v>
      </c>
      <c r="G904" t="s">
        <v>26</v>
      </c>
      <c r="H904" s="1">
        <v>45044</v>
      </c>
      <c r="I904" t="s">
        <v>993</v>
      </c>
      <c r="J904" t="s">
        <v>14</v>
      </c>
      <c r="K904" t="s">
        <v>28</v>
      </c>
      <c r="L904" s="3">
        <f>IF(Sales_Table[[#This Row],[Revenue]]=0,0,Sales_Table[[#This Row],[Revenue]]/Sales_Table[[#This Row],[Profit]])</f>
        <v>3.9531598513011152</v>
      </c>
    </row>
    <row r="905" spans="1:12" x14ac:dyDescent="0.5">
      <c r="A905" t="s">
        <v>991</v>
      </c>
      <c r="B905">
        <v>5317</v>
      </c>
      <c r="C905">
        <v>1345</v>
      </c>
      <c r="D905">
        <v>18</v>
      </c>
      <c r="E905" t="s">
        <v>36</v>
      </c>
      <c r="F905" t="s">
        <v>40</v>
      </c>
      <c r="G905" t="s">
        <v>26</v>
      </c>
      <c r="H905" s="1">
        <v>45618</v>
      </c>
      <c r="I905" t="s">
        <v>994</v>
      </c>
      <c r="J905" t="s">
        <v>34</v>
      </c>
      <c r="K905" t="s">
        <v>75</v>
      </c>
      <c r="L905" s="3">
        <f>IF(Sales_Table[[#This Row],[Revenue]]=0,0,Sales_Table[[#This Row],[Revenue]]/Sales_Table[[#This Row],[Profit]])</f>
        <v>3.9531598513011152</v>
      </c>
    </row>
    <row r="906" spans="1:12" x14ac:dyDescent="0.5">
      <c r="A906" t="s">
        <v>991</v>
      </c>
      <c r="B906">
        <v>6304</v>
      </c>
      <c r="C906">
        <v>766</v>
      </c>
      <c r="D906">
        <v>14</v>
      </c>
      <c r="E906" t="s">
        <v>36</v>
      </c>
      <c r="F906" t="s">
        <v>37</v>
      </c>
      <c r="G906" t="s">
        <v>32</v>
      </c>
      <c r="H906" s="1">
        <v>44960</v>
      </c>
      <c r="I906" t="s">
        <v>992</v>
      </c>
      <c r="J906" t="s">
        <v>79</v>
      </c>
      <c r="K906" t="s">
        <v>80</v>
      </c>
      <c r="L906" s="3">
        <f>IF(Sales_Table[[#This Row],[Revenue]]=0,0,Sales_Table[[#This Row],[Revenue]]/Sales_Table[[#This Row],[Profit]])</f>
        <v>8.2297650130548305</v>
      </c>
    </row>
    <row r="907" spans="1:12" x14ac:dyDescent="0.5">
      <c r="A907" t="s">
        <v>991</v>
      </c>
      <c r="B907">
        <v>6304</v>
      </c>
      <c r="C907">
        <v>766</v>
      </c>
      <c r="D907">
        <v>14</v>
      </c>
      <c r="E907" t="s">
        <v>36</v>
      </c>
      <c r="F907" t="s">
        <v>37</v>
      </c>
      <c r="G907" t="s">
        <v>32</v>
      </c>
      <c r="H907" s="1">
        <v>45044</v>
      </c>
      <c r="I907" t="s">
        <v>993</v>
      </c>
      <c r="J907" t="s">
        <v>14</v>
      </c>
      <c r="K907" t="s">
        <v>28</v>
      </c>
      <c r="L907" s="3">
        <f>IF(Sales_Table[[#This Row],[Revenue]]=0,0,Sales_Table[[#This Row],[Revenue]]/Sales_Table[[#This Row],[Profit]])</f>
        <v>8.2297650130548305</v>
      </c>
    </row>
    <row r="908" spans="1:12" x14ac:dyDescent="0.5">
      <c r="A908" t="s">
        <v>991</v>
      </c>
      <c r="B908">
        <v>6304</v>
      </c>
      <c r="C908">
        <v>766</v>
      </c>
      <c r="D908">
        <v>14</v>
      </c>
      <c r="E908" t="s">
        <v>36</v>
      </c>
      <c r="F908" t="s">
        <v>37</v>
      </c>
      <c r="G908" t="s">
        <v>32</v>
      </c>
      <c r="H908" s="1">
        <v>45618</v>
      </c>
      <c r="I908" t="s">
        <v>994</v>
      </c>
      <c r="J908" t="s">
        <v>34</v>
      </c>
      <c r="K908" t="s">
        <v>75</v>
      </c>
      <c r="L908" s="3">
        <f>IF(Sales_Table[[#This Row],[Revenue]]=0,0,Sales_Table[[#This Row],[Revenue]]/Sales_Table[[#This Row],[Profit]])</f>
        <v>8.2297650130548305</v>
      </c>
    </row>
    <row r="909" spans="1:12" x14ac:dyDescent="0.5">
      <c r="A909" t="s">
        <v>995</v>
      </c>
      <c r="B909">
        <v>9565</v>
      </c>
      <c r="C909">
        <v>1691</v>
      </c>
      <c r="D909">
        <v>3</v>
      </c>
      <c r="E909" t="s">
        <v>24</v>
      </c>
      <c r="F909" t="s">
        <v>52</v>
      </c>
      <c r="G909" t="s">
        <v>26</v>
      </c>
      <c r="H909" s="1">
        <v>45475</v>
      </c>
      <c r="I909" t="s">
        <v>996</v>
      </c>
      <c r="J909" t="s">
        <v>17</v>
      </c>
      <c r="K909" t="s">
        <v>51</v>
      </c>
      <c r="L909" s="3">
        <f>IF(Sales_Table[[#This Row],[Revenue]]=0,0,Sales_Table[[#This Row],[Revenue]]/Sales_Table[[#This Row],[Profit]])</f>
        <v>5.6564163217031345</v>
      </c>
    </row>
    <row r="910" spans="1:12" x14ac:dyDescent="0.5">
      <c r="A910" t="s">
        <v>995</v>
      </c>
      <c r="B910">
        <v>8245</v>
      </c>
      <c r="C910">
        <v>324</v>
      </c>
      <c r="D910">
        <v>11</v>
      </c>
      <c r="E910" t="s">
        <v>24</v>
      </c>
      <c r="F910" t="s">
        <v>52</v>
      </c>
      <c r="G910" t="s">
        <v>32</v>
      </c>
      <c r="H910" s="1">
        <v>45475</v>
      </c>
      <c r="I910" t="s">
        <v>996</v>
      </c>
      <c r="J910" t="s">
        <v>17</v>
      </c>
      <c r="K910" t="s">
        <v>51</v>
      </c>
      <c r="L910" s="3">
        <f>IF(Sales_Table[[#This Row],[Revenue]]=0,0,Sales_Table[[#This Row],[Revenue]]/Sales_Table[[#This Row],[Profit]])</f>
        <v>25.447530864197532</v>
      </c>
    </row>
    <row r="911" spans="1:12" x14ac:dyDescent="0.5">
      <c r="A911" t="s">
        <v>997</v>
      </c>
      <c r="B911">
        <v>1592</v>
      </c>
      <c r="C911">
        <v>480</v>
      </c>
      <c r="D911">
        <v>13</v>
      </c>
      <c r="E911" t="s">
        <v>10</v>
      </c>
      <c r="F911" t="s">
        <v>31</v>
      </c>
      <c r="G911" t="s">
        <v>26</v>
      </c>
      <c r="H911" s="1">
        <v>44579</v>
      </c>
      <c r="I911" t="s">
        <v>998</v>
      </c>
      <c r="J911" t="s">
        <v>79</v>
      </c>
      <c r="K911" t="s">
        <v>94</v>
      </c>
      <c r="L911" s="3">
        <f>IF(Sales_Table[[#This Row],[Revenue]]=0,0,Sales_Table[[#This Row],[Revenue]]/Sales_Table[[#This Row],[Profit]])</f>
        <v>3.3166666666666669</v>
      </c>
    </row>
    <row r="912" spans="1:12" x14ac:dyDescent="0.5">
      <c r="A912" t="s">
        <v>999</v>
      </c>
      <c r="B912">
        <v>8400</v>
      </c>
      <c r="C912">
        <v>267</v>
      </c>
      <c r="D912">
        <v>5</v>
      </c>
      <c r="E912" t="s">
        <v>10</v>
      </c>
      <c r="F912" t="s">
        <v>67</v>
      </c>
      <c r="G912" t="s">
        <v>26</v>
      </c>
      <c r="H912" s="1">
        <v>45573</v>
      </c>
      <c r="I912" t="s">
        <v>1000</v>
      </c>
      <c r="J912" t="s">
        <v>79</v>
      </c>
      <c r="K912" t="s">
        <v>80</v>
      </c>
      <c r="L912" s="3">
        <f>IF(Sales_Table[[#This Row],[Revenue]]=0,0,Sales_Table[[#This Row],[Revenue]]/Sales_Table[[#This Row],[Profit]])</f>
        <v>31.460674157303369</v>
      </c>
    </row>
    <row r="913" spans="1:12" x14ac:dyDescent="0.5">
      <c r="A913" t="s">
        <v>999</v>
      </c>
      <c r="B913">
        <v>4963</v>
      </c>
      <c r="C913">
        <v>1254</v>
      </c>
      <c r="D913">
        <v>15</v>
      </c>
      <c r="E913" t="s">
        <v>24</v>
      </c>
      <c r="F913" t="s">
        <v>52</v>
      </c>
      <c r="G913" t="s">
        <v>32</v>
      </c>
      <c r="H913" s="1">
        <v>45573</v>
      </c>
      <c r="I913" t="s">
        <v>1000</v>
      </c>
      <c r="J913" t="s">
        <v>79</v>
      </c>
      <c r="K913" t="s">
        <v>80</v>
      </c>
      <c r="L913" s="3">
        <f>IF(Sales_Table[[#This Row],[Revenue]]=0,0,Sales_Table[[#This Row],[Revenue]]/Sales_Table[[#This Row],[Profit]])</f>
        <v>3.9577352472089316</v>
      </c>
    </row>
    <row r="914" spans="1:12" x14ac:dyDescent="0.5">
      <c r="A914" t="s">
        <v>1001</v>
      </c>
      <c r="B914">
        <v>2472</v>
      </c>
      <c r="C914">
        <v>211</v>
      </c>
      <c r="D914">
        <v>5</v>
      </c>
      <c r="E914" t="s">
        <v>10</v>
      </c>
      <c r="F914" t="s">
        <v>22</v>
      </c>
      <c r="G914" t="s">
        <v>53</v>
      </c>
      <c r="H914" s="1">
        <v>44003</v>
      </c>
      <c r="I914" t="s">
        <v>1002</v>
      </c>
      <c r="J914" t="s">
        <v>34</v>
      </c>
      <c r="K914" t="s">
        <v>62</v>
      </c>
      <c r="L914" s="3">
        <f>IF(Sales_Table[[#This Row],[Revenue]]=0,0,Sales_Table[[#This Row],[Revenue]]/Sales_Table[[#This Row],[Profit]])</f>
        <v>11.71563981042654</v>
      </c>
    </row>
    <row r="915" spans="1:12" x14ac:dyDescent="0.5">
      <c r="A915" t="s">
        <v>1003</v>
      </c>
      <c r="B915">
        <v>9132</v>
      </c>
      <c r="C915">
        <v>3096</v>
      </c>
      <c r="D915">
        <v>14</v>
      </c>
      <c r="E915" t="s">
        <v>36</v>
      </c>
      <c r="F915" t="s">
        <v>40</v>
      </c>
      <c r="G915" t="s">
        <v>26</v>
      </c>
      <c r="H915" s="1">
        <v>45274</v>
      </c>
      <c r="I915" t="s">
        <v>1004</v>
      </c>
      <c r="J915" t="s">
        <v>14</v>
      </c>
      <c r="K915" t="s">
        <v>118</v>
      </c>
      <c r="L915" s="3">
        <f>IF(Sales_Table[[#This Row],[Revenue]]=0,0,Sales_Table[[#This Row],[Revenue]]/Sales_Table[[#This Row],[Profit]])</f>
        <v>2.9496124031007751</v>
      </c>
    </row>
    <row r="916" spans="1:12" x14ac:dyDescent="0.5">
      <c r="A916" t="s">
        <v>1005</v>
      </c>
      <c r="B916">
        <v>8305</v>
      </c>
      <c r="C916">
        <v>1577</v>
      </c>
      <c r="D916">
        <v>6</v>
      </c>
      <c r="E916" t="s">
        <v>24</v>
      </c>
      <c r="F916" t="s">
        <v>64</v>
      </c>
      <c r="G916" t="s">
        <v>26</v>
      </c>
      <c r="H916" s="1">
        <v>44181</v>
      </c>
      <c r="I916" t="s">
        <v>1006</v>
      </c>
      <c r="J916" t="s">
        <v>20</v>
      </c>
      <c r="K916" t="s">
        <v>56</v>
      </c>
      <c r="L916" s="3">
        <f>IF(Sales_Table[[#This Row],[Revenue]]=0,0,Sales_Table[[#This Row],[Revenue]]/Sales_Table[[#This Row],[Profit]])</f>
        <v>5.2663284717818639</v>
      </c>
    </row>
    <row r="917" spans="1:12" x14ac:dyDescent="0.5">
      <c r="A917" t="s">
        <v>1007</v>
      </c>
      <c r="B917">
        <v>1010</v>
      </c>
      <c r="C917">
        <v>58</v>
      </c>
      <c r="D917">
        <v>19</v>
      </c>
      <c r="E917" t="s">
        <v>10</v>
      </c>
      <c r="F917" t="s">
        <v>11</v>
      </c>
      <c r="G917" t="s">
        <v>53</v>
      </c>
      <c r="H917" s="1">
        <v>45731</v>
      </c>
      <c r="I917" t="s">
        <v>1008</v>
      </c>
      <c r="J917" t="s">
        <v>14</v>
      </c>
      <c r="K917" t="s">
        <v>118</v>
      </c>
      <c r="L917" s="3">
        <f>IF(Sales_Table[[#This Row],[Revenue]]=0,0,Sales_Table[[#This Row],[Revenue]]/Sales_Table[[#This Row],[Profit]])</f>
        <v>17.413793103448278</v>
      </c>
    </row>
    <row r="918" spans="1:12" x14ac:dyDescent="0.5">
      <c r="A918" t="s">
        <v>1009</v>
      </c>
      <c r="B918">
        <v>4544</v>
      </c>
      <c r="C918">
        <v>1726</v>
      </c>
      <c r="D918">
        <v>9</v>
      </c>
      <c r="E918" t="s">
        <v>10</v>
      </c>
      <c r="F918" t="s">
        <v>67</v>
      </c>
      <c r="G918" t="s">
        <v>32</v>
      </c>
      <c r="H918" s="1">
        <v>45525</v>
      </c>
      <c r="I918" t="s">
        <v>1010</v>
      </c>
      <c r="J918" t="s">
        <v>59</v>
      </c>
      <c r="K918" t="s">
        <v>60</v>
      </c>
      <c r="L918" s="3">
        <f>IF(Sales_Table[[#This Row],[Revenue]]=0,0,Sales_Table[[#This Row],[Revenue]]/Sales_Table[[#This Row],[Profit]])</f>
        <v>2.6326767091541137</v>
      </c>
    </row>
    <row r="919" spans="1:12" x14ac:dyDescent="0.5">
      <c r="A919" t="s">
        <v>1009</v>
      </c>
      <c r="B919">
        <v>5900</v>
      </c>
      <c r="C919">
        <v>1738</v>
      </c>
      <c r="D919">
        <v>20</v>
      </c>
      <c r="E919" t="s">
        <v>10</v>
      </c>
      <c r="F919" t="s">
        <v>67</v>
      </c>
      <c r="G919" t="s">
        <v>12</v>
      </c>
      <c r="H919" s="1">
        <v>45525</v>
      </c>
      <c r="I919" t="s">
        <v>1010</v>
      </c>
      <c r="J919" t="s">
        <v>59</v>
      </c>
      <c r="K919" t="s">
        <v>60</v>
      </c>
      <c r="L919" s="3">
        <f>IF(Sales_Table[[#This Row],[Revenue]]=0,0,Sales_Table[[#This Row],[Revenue]]/Sales_Table[[#This Row],[Profit]])</f>
        <v>3.3947065592635215</v>
      </c>
    </row>
    <row r="920" spans="1:12" x14ac:dyDescent="0.5">
      <c r="A920" t="s">
        <v>1011</v>
      </c>
      <c r="B920">
        <v>8861</v>
      </c>
      <c r="C920">
        <v>3381</v>
      </c>
      <c r="D920">
        <v>19</v>
      </c>
      <c r="E920" t="s">
        <v>24</v>
      </c>
      <c r="F920" t="s">
        <v>46</v>
      </c>
      <c r="G920" t="s">
        <v>38</v>
      </c>
      <c r="H920" s="1">
        <v>44343</v>
      </c>
      <c r="I920" t="s">
        <v>1012</v>
      </c>
      <c r="J920" t="s">
        <v>34</v>
      </c>
      <c r="K920" t="s">
        <v>62</v>
      </c>
      <c r="L920" s="3">
        <f>IF(Sales_Table[[#This Row],[Revenue]]=0,0,Sales_Table[[#This Row],[Revenue]]/Sales_Table[[#This Row],[Profit]])</f>
        <v>2.6208222419402545</v>
      </c>
    </row>
    <row r="921" spans="1:12" x14ac:dyDescent="0.5">
      <c r="A921" t="s">
        <v>1013</v>
      </c>
      <c r="B921">
        <v>8158</v>
      </c>
      <c r="C921">
        <v>2052</v>
      </c>
      <c r="D921">
        <v>13</v>
      </c>
      <c r="E921" t="s">
        <v>10</v>
      </c>
      <c r="F921" t="s">
        <v>67</v>
      </c>
      <c r="G921" t="s">
        <v>26</v>
      </c>
      <c r="H921" s="1">
        <v>44095</v>
      </c>
      <c r="I921" t="s">
        <v>1014</v>
      </c>
      <c r="J921" t="s">
        <v>79</v>
      </c>
      <c r="K921" t="s">
        <v>86</v>
      </c>
      <c r="L921" s="3">
        <f>IF(Sales_Table[[#This Row],[Revenue]]=0,0,Sales_Table[[#This Row],[Revenue]]/Sales_Table[[#This Row],[Profit]])</f>
        <v>3.9756335282651074</v>
      </c>
    </row>
    <row r="922" spans="1:12" x14ac:dyDescent="0.5">
      <c r="A922" t="s">
        <v>1015</v>
      </c>
      <c r="B922">
        <v>3411</v>
      </c>
      <c r="C922">
        <v>1704</v>
      </c>
      <c r="D922">
        <v>14</v>
      </c>
      <c r="E922" t="s">
        <v>24</v>
      </c>
      <c r="F922" t="s">
        <v>25</v>
      </c>
      <c r="G922" t="s">
        <v>12</v>
      </c>
      <c r="H922" s="1">
        <v>45668</v>
      </c>
      <c r="I922" t="s">
        <v>1016</v>
      </c>
      <c r="J922" t="s">
        <v>34</v>
      </c>
      <c r="K922" t="s">
        <v>35</v>
      </c>
      <c r="L922" s="3">
        <f>IF(Sales_Table[[#This Row],[Revenue]]=0,0,Sales_Table[[#This Row],[Revenue]]/Sales_Table[[#This Row],[Profit]])</f>
        <v>2.0017605633802815</v>
      </c>
    </row>
    <row r="923" spans="1:12" x14ac:dyDescent="0.5">
      <c r="A923" t="s">
        <v>1017</v>
      </c>
      <c r="B923">
        <v>9406</v>
      </c>
      <c r="C923">
        <v>1137</v>
      </c>
      <c r="D923">
        <v>16</v>
      </c>
      <c r="E923" t="s">
        <v>24</v>
      </c>
      <c r="F923" t="s">
        <v>46</v>
      </c>
      <c r="G923" t="s">
        <v>12</v>
      </c>
      <c r="H923" s="1">
        <v>44489</v>
      </c>
      <c r="I923" t="s">
        <v>1018</v>
      </c>
      <c r="J923" t="s">
        <v>59</v>
      </c>
      <c r="K923" t="s">
        <v>108</v>
      </c>
      <c r="L923" s="3">
        <f>IF(Sales_Table[[#This Row],[Revenue]]=0,0,Sales_Table[[#This Row],[Revenue]]/Sales_Table[[#This Row],[Profit]])</f>
        <v>8.272647317502198</v>
      </c>
    </row>
    <row r="924" spans="1:12" x14ac:dyDescent="0.5">
      <c r="A924" t="s">
        <v>1017</v>
      </c>
      <c r="B924">
        <v>1156</v>
      </c>
      <c r="C924">
        <v>74</v>
      </c>
      <c r="D924">
        <v>15</v>
      </c>
      <c r="E924" t="s">
        <v>10</v>
      </c>
      <c r="F924" t="s">
        <v>22</v>
      </c>
      <c r="G924" t="s">
        <v>32</v>
      </c>
      <c r="H924" s="1">
        <v>44489</v>
      </c>
      <c r="I924" t="s">
        <v>1018</v>
      </c>
      <c r="J924" t="s">
        <v>59</v>
      </c>
      <c r="K924" t="s">
        <v>108</v>
      </c>
      <c r="L924" s="3">
        <f>IF(Sales_Table[[#This Row],[Revenue]]=0,0,Sales_Table[[#This Row],[Revenue]]/Sales_Table[[#This Row],[Profit]])</f>
        <v>15.621621621621621</v>
      </c>
    </row>
    <row r="925" spans="1:12" x14ac:dyDescent="0.5">
      <c r="A925" t="s">
        <v>1019</v>
      </c>
      <c r="B925">
        <v>5354</v>
      </c>
      <c r="C925">
        <v>743</v>
      </c>
      <c r="D925">
        <v>10</v>
      </c>
      <c r="E925" t="s">
        <v>36</v>
      </c>
      <c r="F925" t="s">
        <v>87</v>
      </c>
      <c r="G925" t="s">
        <v>12</v>
      </c>
      <c r="H925" s="1">
        <v>44488</v>
      </c>
      <c r="I925" t="s">
        <v>1020</v>
      </c>
      <c r="J925" t="s">
        <v>17</v>
      </c>
      <c r="K925" t="s">
        <v>51</v>
      </c>
      <c r="L925" s="3">
        <f>IF(Sales_Table[[#This Row],[Revenue]]=0,0,Sales_Table[[#This Row],[Revenue]]/Sales_Table[[#This Row],[Profit]])</f>
        <v>7.2059219380888289</v>
      </c>
    </row>
    <row r="926" spans="1:12" x14ac:dyDescent="0.5">
      <c r="A926" t="s">
        <v>1021</v>
      </c>
      <c r="B926">
        <v>8780</v>
      </c>
      <c r="C926">
        <v>3430</v>
      </c>
      <c r="D926">
        <v>4</v>
      </c>
      <c r="E926" t="s">
        <v>10</v>
      </c>
      <c r="F926" t="s">
        <v>11</v>
      </c>
      <c r="G926" t="s">
        <v>38</v>
      </c>
      <c r="H926" s="1">
        <v>45480</v>
      </c>
      <c r="I926" t="s">
        <v>1022</v>
      </c>
      <c r="J926" t="s">
        <v>59</v>
      </c>
      <c r="K926" t="s">
        <v>71</v>
      </c>
      <c r="L926" s="3">
        <f>IF(Sales_Table[[#This Row],[Revenue]]=0,0,Sales_Table[[#This Row],[Revenue]]/Sales_Table[[#This Row],[Profit]])</f>
        <v>2.5597667638483963</v>
      </c>
    </row>
    <row r="927" spans="1:12" x14ac:dyDescent="0.5">
      <c r="A927" t="s">
        <v>1021</v>
      </c>
      <c r="B927">
        <v>8780</v>
      </c>
      <c r="C927">
        <v>3430</v>
      </c>
      <c r="D927">
        <v>4</v>
      </c>
      <c r="E927" t="s">
        <v>10</v>
      </c>
      <c r="F927" t="s">
        <v>11</v>
      </c>
      <c r="G927" t="s">
        <v>38</v>
      </c>
      <c r="H927" s="1">
        <v>45132</v>
      </c>
      <c r="I927" t="s">
        <v>1023</v>
      </c>
      <c r="J927" t="s">
        <v>59</v>
      </c>
      <c r="K927" t="s">
        <v>71</v>
      </c>
      <c r="L927" s="3">
        <f>IF(Sales_Table[[#This Row],[Revenue]]=0,0,Sales_Table[[#This Row],[Revenue]]/Sales_Table[[#This Row],[Profit]])</f>
        <v>2.5597667638483963</v>
      </c>
    </row>
    <row r="928" spans="1:12" x14ac:dyDescent="0.5">
      <c r="A928" t="s">
        <v>1024</v>
      </c>
      <c r="B928">
        <v>6783</v>
      </c>
      <c r="C928">
        <v>3306</v>
      </c>
      <c r="D928">
        <v>8</v>
      </c>
      <c r="E928" t="s">
        <v>36</v>
      </c>
      <c r="F928" t="s">
        <v>48</v>
      </c>
      <c r="G928" t="s">
        <v>26</v>
      </c>
      <c r="H928" s="1">
        <v>43937</v>
      </c>
      <c r="I928" t="s">
        <v>1025</v>
      </c>
      <c r="J928" t="s">
        <v>79</v>
      </c>
      <c r="K928" t="s">
        <v>80</v>
      </c>
      <c r="L928" s="3">
        <f>IF(Sales_Table[[#This Row],[Revenue]]=0,0,Sales_Table[[#This Row],[Revenue]]/Sales_Table[[#This Row],[Profit]])</f>
        <v>2.0517241379310347</v>
      </c>
    </row>
    <row r="929" spans="1:12" x14ac:dyDescent="0.5">
      <c r="A929" t="s">
        <v>1026</v>
      </c>
      <c r="B929">
        <v>1778</v>
      </c>
      <c r="C929">
        <v>285</v>
      </c>
      <c r="D929">
        <v>4</v>
      </c>
      <c r="E929" t="s">
        <v>24</v>
      </c>
      <c r="F929" t="s">
        <v>25</v>
      </c>
      <c r="G929" t="s">
        <v>38</v>
      </c>
      <c r="H929" s="1">
        <v>44016</v>
      </c>
      <c r="I929" t="s">
        <v>1027</v>
      </c>
      <c r="J929" t="s">
        <v>20</v>
      </c>
      <c r="K929" t="s">
        <v>42</v>
      </c>
      <c r="L929" s="3">
        <f>IF(Sales_Table[[#This Row],[Revenue]]=0,0,Sales_Table[[#This Row],[Revenue]]/Sales_Table[[#This Row],[Profit]])</f>
        <v>6.23859649122807</v>
      </c>
    </row>
    <row r="930" spans="1:12" x14ac:dyDescent="0.5">
      <c r="A930" t="s">
        <v>1028</v>
      </c>
      <c r="B930">
        <v>9399</v>
      </c>
      <c r="C930">
        <v>1949</v>
      </c>
      <c r="D930">
        <v>12</v>
      </c>
      <c r="E930" t="s">
        <v>10</v>
      </c>
      <c r="F930" t="s">
        <v>22</v>
      </c>
      <c r="G930" t="s">
        <v>12</v>
      </c>
      <c r="H930" s="1">
        <v>44697</v>
      </c>
      <c r="I930" t="s">
        <v>1029</v>
      </c>
      <c r="J930" t="s">
        <v>20</v>
      </c>
      <c r="K930" t="s">
        <v>56</v>
      </c>
      <c r="L930" s="3">
        <f>IF(Sales_Table[[#This Row],[Revenue]]=0,0,Sales_Table[[#This Row],[Revenue]]/Sales_Table[[#This Row],[Profit]])</f>
        <v>4.8224730631092871</v>
      </c>
    </row>
    <row r="931" spans="1:12" x14ac:dyDescent="0.5">
      <c r="A931" t="s">
        <v>1028</v>
      </c>
      <c r="B931">
        <v>7957</v>
      </c>
      <c r="C931">
        <v>965</v>
      </c>
      <c r="D931">
        <v>4</v>
      </c>
      <c r="E931" t="s">
        <v>36</v>
      </c>
      <c r="F931" t="s">
        <v>48</v>
      </c>
      <c r="G931" t="s">
        <v>38</v>
      </c>
      <c r="H931" s="1">
        <v>44697</v>
      </c>
      <c r="I931" t="s">
        <v>1029</v>
      </c>
      <c r="J931" t="s">
        <v>20</v>
      </c>
      <c r="K931" t="s">
        <v>56</v>
      </c>
      <c r="L931" s="3">
        <f>IF(Sales_Table[[#This Row],[Revenue]]=0,0,Sales_Table[[#This Row],[Revenue]]/Sales_Table[[#This Row],[Profit]])</f>
        <v>8.2455958549222803</v>
      </c>
    </row>
    <row r="932" spans="1:12" x14ac:dyDescent="0.5">
      <c r="A932" t="s">
        <v>1030</v>
      </c>
      <c r="B932">
        <v>1638</v>
      </c>
      <c r="C932">
        <v>661</v>
      </c>
      <c r="D932">
        <v>13</v>
      </c>
      <c r="E932" t="s">
        <v>36</v>
      </c>
      <c r="F932" t="s">
        <v>40</v>
      </c>
      <c r="G932" t="s">
        <v>32</v>
      </c>
      <c r="H932" s="1">
        <v>45255</v>
      </c>
      <c r="I932" t="s">
        <v>1031</v>
      </c>
      <c r="J932" t="s">
        <v>17</v>
      </c>
      <c r="K932" t="s">
        <v>51</v>
      </c>
      <c r="L932" s="3">
        <f>IF(Sales_Table[[#This Row],[Revenue]]=0,0,Sales_Table[[#This Row],[Revenue]]/Sales_Table[[#This Row],[Profit]])</f>
        <v>2.4780635400907713</v>
      </c>
    </row>
    <row r="933" spans="1:12" x14ac:dyDescent="0.5">
      <c r="A933" t="s">
        <v>1032</v>
      </c>
      <c r="B933">
        <v>1786</v>
      </c>
      <c r="C933">
        <v>224</v>
      </c>
      <c r="D933">
        <v>4</v>
      </c>
      <c r="E933" t="s">
        <v>36</v>
      </c>
      <c r="F933" t="s">
        <v>37</v>
      </c>
      <c r="G933" t="s">
        <v>53</v>
      </c>
      <c r="H933" s="1">
        <v>44425</v>
      </c>
      <c r="I933" t="s">
        <v>1033</v>
      </c>
      <c r="J933" t="s">
        <v>59</v>
      </c>
      <c r="K933" t="s">
        <v>60</v>
      </c>
      <c r="L933" s="3">
        <f>IF(Sales_Table[[#This Row],[Revenue]]=0,0,Sales_Table[[#This Row],[Revenue]]/Sales_Table[[#This Row],[Profit]])</f>
        <v>7.9732142857142856</v>
      </c>
    </row>
    <row r="934" spans="1:12" x14ac:dyDescent="0.5">
      <c r="A934" t="s">
        <v>1034</v>
      </c>
      <c r="B934">
        <v>4751</v>
      </c>
      <c r="C934">
        <v>781</v>
      </c>
      <c r="D934">
        <v>9</v>
      </c>
      <c r="E934" t="s">
        <v>24</v>
      </c>
      <c r="F934" t="s">
        <v>52</v>
      </c>
      <c r="G934" t="s">
        <v>32</v>
      </c>
      <c r="H934" s="1">
        <v>45109</v>
      </c>
      <c r="I934" t="s">
        <v>1035</v>
      </c>
      <c r="J934" t="s">
        <v>20</v>
      </c>
      <c r="K934" t="s">
        <v>21</v>
      </c>
      <c r="L934" s="3">
        <f>IF(Sales_Table[[#This Row],[Revenue]]=0,0,Sales_Table[[#This Row],[Revenue]]/Sales_Table[[#This Row],[Profit]])</f>
        <v>6.0832266325224076</v>
      </c>
    </row>
    <row r="935" spans="1:12" x14ac:dyDescent="0.5">
      <c r="A935" t="s">
        <v>1036</v>
      </c>
      <c r="B935">
        <v>8979</v>
      </c>
      <c r="C935">
        <v>4477</v>
      </c>
      <c r="D935">
        <v>4</v>
      </c>
      <c r="E935" t="s">
        <v>24</v>
      </c>
      <c r="F935" t="s">
        <v>52</v>
      </c>
      <c r="G935" t="s">
        <v>38</v>
      </c>
      <c r="H935" s="1">
        <v>44067</v>
      </c>
      <c r="I935" t="s">
        <v>1037</v>
      </c>
      <c r="J935" t="s">
        <v>17</v>
      </c>
      <c r="K935" t="s">
        <v>18</v>
      </c>
      <c r="L935" s="3">
        <f>IF(Sales_Table[[#This Row],[Revenue]]=0,0,Sales_Table[[#This Row],[Revenue]]/Sales_Table[[#This Row],[Profit]])</f>
        <v>2.0055840964931875</v>
      </c>
    </row>
    <row r="936" spans="1:12" x14ac:dyDescent="0.5">
      <c r="A936" t="s">
        <v>1038</v>
      </c>
      <c r="B936">
        <v>2727</v>
      </c>
      <c r="C936">
        <v>663</v>
      </c>
      <c r="D936">
        <v>8</v>
      </c>
      <c r="E936" t="s">
        <v>10</v>
      </c>
      <c r="F936" t="s">
        <v>67</v>
      </c>
      <c r="G936" t="s">
        <v>38</v>
      </c>
      <c r="H936" s="1">
        <v>44872</v>
      </c>
      <c r="I936" t="s">
        <v>1039</v>
      </c>
      <c r="J936" t="s">
        <v>14</v>
      </c>
      <c r="K936" t="s">
        <v>15</v>
      </c>
      <c r="L936" s="3">
        <f>IF(Sales_Table[[#This Row],[Revenue]]=0,0,Sales_Table[[#This Row],[Revenue]]/Sales_Table[[#This Row],[Profit]])</f>
        <v>4.113122171945701</v>
      </c>
    </row>
    <row r="937" spans="1:12" x14ac:dyDescent="0.5">
      <c r="A937" t="s">
        <v>1040</v>
      </c>
      <c r="B937">
        <v>1093</v>
      </c>
      <c r="C937">
        <v>397</v>
      </c>
      <c r="D937">
        <v>17</v>
      </c>
      <c r="E937" t="s">
        <v>10</v>
      </c>
      <c r="F937" t="s">
        <v>22</v>
      </c>
      <c r="G937" t="s">
        <v>38</v>
      </c>
      <c r="H937" s="1">
        <v>45378</v>
      </c>
      <c r="I937" t="s">
        <v>1041</v>
      </c>
      <c r="J937" t="s">
        <v>17</v>
      </c>
      <c r="K937" t="s">
        <v>134</v>
      </c>
      <c r="L937" s="3">
        <f>IF(Sales_Table[[#This Row],[Revenue]]=0,0,Sales_Table[[#This Row],[Revenue]]/Sales_Table[[#This Row],[Profit]])</f>
        <v>2.7531486146095716</v>
      </c>
    </row>
    <row r="938" spans="1:12" x14ac:dyDescent="0.5">
      <c r="A938" t="s">
        <v>1040</v>
      </c>
      <c r="B938">
        <v>1093</v>
      </c>
      <c r="C938">
        <v>397</v>
      </c>
      <c r="D938">
        <v>17</v>
      </c>
      <c r="E938" t="s">
        <v>10</v>
      </c>
      <c r="F938" t="s">
        <v>22</v>
      </c>
      <c r="G938" t="s">
        <v>38</v>
      </c>
      <c r="H938" s="1">
        <v>45536</v>
      </c>
      <c r="I938" t="s">
        <v>1042</v>
      </c>
      <c r="J938" t="s">
        <v>20</v>
      </c>
      <c r="K938" t="s">
        <v>21</v>
      </c>
      <c r="L938" s="3">
        <f>IF(Sales_Table[[#This Row],[Revenue]]=0,0,Sales_Table[[#This Row],[Revenue]]/Sales_Table[[#This Row],[Profit]])</f>
        <v>2.7531486146095716</v>
      </c>
    </row>
    <row r="939" spans="1:12" x14ac:dyDescent="0.5">
      <c r="A939" t="s">
        <v>1040</v>
      </c>
      <c r="B939">
        <v>1093</v>
      </c>
      <c r="C939">
        <v>397</v>
      </c>
      <c r="D939">
        <v>17</v>
      </c>
      <c r="E939" t="s">
        <v>10</v>
      </c>
      <c r="F939" t="s">
        <v>22</v>
      </c>
      <c r="G939" t="s">
        <v>38</v>
      </c>
      <c r="H939" s="1">
        <v>44614</v>
      </c>
      <c r="I939" t="s">
        <v>1043</v>
      </c>
      <c r="J939" t="s">
        <v>79</v>
      </c>
      <c r="K939" t="s">
        <v>80</v>
      </c>
      <c r="L939" s="3">
        <f>IF(Sales_Table[[#This Row],[Revenue]]=0,0,Sales_Table[[#This Row],[Revenue]]/Sales_Table[[#This Row],[Profit]])</f>
        <v>2.7531486146095716</v>
      </c>
    </row>
    <row r="940" spans="1:12" x14ac:dyDescent="0.5">
      <c r="A940" t="s">
        <v>1040</v>
      </c>
      <c r="B940">
        <v>2636</v>
      </c>
      <c r="C940">
        <v>88</v>
      </c>
      <c r="D940">
        <v>11</v>
      </c>
      <c r="E940" t="s">
        <v>24</v>
      </c>
      <c r="F940" t="s">
        <v>52</v>
      </c>
      <c r="G940" t="s">
        <v>26</v>
      </c>
      <c r="H940" s="1">
        <v>45378</v>
      </c>
      <c r="I940" t="s">
        <v>1041</v>
      </c>
      <c r="J940" t="s">
        <v>17</v>
      </c>
      <c r="K940" t="s">
        <v>134</v>
      </c>
      <c r="L940" s="3">
        <f>IF(Sales_Table[[#This Row],[Revenue]]=0,0,Sales_Table[[#This Row],[Revenue]]/Sales_Table[[#This Row],[Profit]])</f>
        <v>29.954545454545453</v>
      </c>
    </row>
    <row r="941" spans="1:12" x14ac:dyDescent="0.5">
      <c r="A941" t="s">
        <v>1040</v>
      </c>
      <c r="B941">
        <v>2636</v>
      </c>
      <c r="C941">
        <v>88</v>
      </c>
      <c r="D941">
        <v>11</v>
      </c>
      <c r="E941" t="s">
        <v>24</v>
      </c>
      <c r="F941" t="s">
        <v>52</v>
      </c>
      <c r="G941" t="s">
        <v>26</v>
      </c>
      <c r="H941" s="1">
        <v>45536</v>
      </c>
      <c r="I941" t="s">
        <v>1042</v>
      </c>
      <c r="J941" t="s">
        <v>20</v>
      </c>
      <c r="K941" t="s">
        <v>21</v>
      </c>
      <c r="L941" s="3">
        <f>IF(Sales_Table[[#This Row],[Revenue]]=0,0,Sales_Table[[#This Row],[Revenue]]/Sales_Table[[#This Row],[Profit]])</f>
        <v>29.954545454545453</v>
      </c>
    </row>
    <row r="942" spans="1:12" x14ac:dyDescent="0.5">
      <c r="A942" t="s">
        <v>1040</v>
      </c>
      <c r="B942">
        <v>2636</v>
      </c>
      <c r="C942">
        <v>88</v>
      </c>
      <c r="D942">
        <v>11</v>
      </c>
      <c r="E942" t="s">
        <v>24</v>
      </c>
      <c r="F942" t="s">
        <v>52</v>
      </c>
      <c r="G942" t="s">
        <v>26</v>
      </c>
      <c r="H942" s="1">
        <v>44614</v>
      </c>
      <c r="I942" t="s">
        <v>1043</v>
      </c>
      <c r="J942" t="s">
        <v>79</v>
      </c>
      <c r="K942" t="s">
        <v>80</v>
      </c>
      <c r="L942" s="3">
        <f>IF(Sales_Table[[#This Row],[Revenue]]=0,0,Sales_Table[[#This Row],[Revenue]]/Sales_Table[[#This Row],[Profit]])</f>
        <v>29.954545454545453</v>
      </c>
    </row>
    <row r="943" spans="1:12" x14ac:dyDescent="0.5">
      <c r="A943" t="s">
        <v>1044</v>
      </c>
      <c r="B943">
        <v>7344</v>
      </c>
      <c r="C943">
        <v>2251</v>
      </c>
      <c r="D943">
        <v>7</v>
      </c>
      <c r="E943" t="s">
        <v>10</v>
      </c>
      <c r="F943" t="s">
        <v>11</v>
      </c>
      <c r="G943" t="s">
        <v>26</v>
      </c>
      <c r="H943" s="1">
        <v>44603</v>
      </c>
      <c r="I943" t="s">
        <v>1045</v>
      </c>
      <c r="J943" t="s">
        <v>14</v>
      </c>
      <c r="K943" t="s">
        <v>15</v>
      </c>
      <c r="L943" s="3">
        <f>IF(Sales_Table[[#This Row],[Revenue]]=0,0,Sales_Table[[#This Row],[Revenue]]/Sales_Table[[#This Row],[Profit]])</f>
        <v>3.2625499777876499</v>
      </c>
    </row>
    <row r="944" spans="1:12" x14ac:dyDescent="0.5">
      <c r="A944" t="s">
        <v>1044</v>
      </c>
      <c r="B944">
        <v>7306</v>
      </c>
      <c r="C944">
        <v>1547</v>
      </c>
      <c r="D944">
        <v>3</v>
      </c>
      <c r="E944" t="s">
        <v>24</v>
      </c>
      <c r="F944" t="s">
        <v>52</v>
      </c>
      <c r="G944" t="s">
        <v>53</v>
      </c>
      <c r="H944" s="1">
        <v>44603</v>
      </c>
      <c r="I944" t="s">
        <v>1045</v>
      </c>
      <c r="J944" t="s">
        <v>14</v>
      </c>
      <c r="K944" t="s">
        <v>15</v>
      </c>
      <c r="L944" s="3">
        <f>IF(Sales_Table[[#This Row],[Revenue]]=0,0,Sales_Table[[#This Row],[Revenue]]/Sales_Table[[#This Row],[Profit]])</f>
        <v>4.7226890756302522</v>
      </c>
    </row>
    <row r="945" spans="1:12" x14ac:dyDescent="0.5">
      <c r="A945" t="s">
        <v>1044</v>
      </c>
      <c r="B945">
        <v>5832</v>
      </c>
      <c r="C945">
        <v>2588</v>
      </c>
      <c r="D945">
        <v>10</v>
      </c>
      <c r="E945" t="s">
        <v>10</v>
      </c>
      <c r="F945" t="s">
        <v>22</v>
      </c>
      <c r="G945" t="s">
        <v>53</v>
      </c>
      <c r="H945" s="1">
        <v>44603</v>
      </c>
      <c r="I945" t="s">
        <v>1045</v>
      </c>
      <c r="J945" t="s">
        <v>14</v>
      </c>
      <c r="K945" t="s">
        <v>15</v>
      </c>
      <c r="L945" s="3">
        <f>IF(Sales_Table[[#This Row],[Revenue]]=0,0,Sales_Table[[#This Row],[Revenue]]/Sales_Table[[#This Row],[Profit]])</f>
        <v>2.2534775888717156</v>
      </c>
    </row>
    <row r="946" spans="1:12" x14ac:dyDescent="0.5">
      <c r="A946" t="s">
        <v>1046</v>
      </c>
      <c r="B946">
        <v>8572</v>
      </c>
      <c r="C946">
        <v>2041</v>
      </c>
      <c r="D946">
        <v>8</v>
      </c>
      <c r="E946" t="s">
        <v>36</v>
      </c>
      <c r="F946" t="s">
        <v>37</v>
      </c>
      <c r="G946" t="s">
        <v>32</v>
      </c>
      <c r="H946" s="1">
        <v>44343</v>
      </c>
      <c r="I946" t="s">
        <v>1047</v>
      </c>
      <c r="J946" t="s">
        <v>17</v>
      </c>
      <c r="K946" t="s">
        <v>51</v>
      </c>
      <c r="L946" s="3">
        <f>IF(Sales_Table[[#This Row],[Revenue]]=0,0,Sales_Table[[#This Row],[Revenue]]/Sales_Table[[#This Row],[Profit]])</f>
        <v>4.1999020088192065</v>
      </c>
    </row>
    <row r="947" spans="1:12" x14ac:dyDescent="0.5">
      <c r="A947" t="s">
        <v>1046</v>
      </c>
      <c r="B947">
        <v>8572</v>
      </c>
      <c r="C947">
        <v>2041</v>
      </c>
      <c r="D947">
        <v>8</v>
      </c>
      <c r="E947" t="s">
        <v>36</v>
      </c>
      <c r="F947" t="s">
        <v>37</v>
      </c>
      <c r="G947" t="s">
        <v>32</v>
      </c>
      <c r="H947" s="1">
        <v>45112</v>
      </c>
      <c r="I947" t="s">
        <v>1048</v>
      </c>
      <c r="J947" t="s">
        <v>17</v>
      </c>
      <c r="K947" t="s">
        <v>51</v>
      </c>
      <c r="L947" s="3">
        <f>IF(Sales_Table[[#This Row],[Revenue]]=0,0,Sales_Table[[#This Row],[Revenue]]/Sales_Table[[#This Row],[Profit]])</f>
        <v>4.1999020088192065</v>
      </c>
    </row>
    <row r="948" spans="1:12" x14ac:dyDescent="0.5">
      <c r="A948" t="s">
        <v>1046</v>
      </c>
      <c r="B948">
        <v>8572</v>
      </c>
      <c r="C948">
        <v>2041</v>
      </c>
      <c r="D948">
        <v>8</v>
      </c>
      <c r="E948" t="s">
        <v>36</v>
      </c>
      <c r="F948" t="s">
        <v>37</v>
      </c>
      <c r="G948" t="s">
        <v>32</v>
      </c>
      <c r="H948" s="1">
        <v>44131</v>
      </c>
      <c r="I948" t="s">
        <v>1049</v>
      </c>
      <c r="J948" t="s">
        <v>34</v>
      </c>
      <c r="K948" t="s">
        <v>62</v>
      </c>
      <c r="L948" s="3">
        <f>IF(Sales_Table[[#This Row],[Revenue]]=0,0,Sales_Table[[#This Row],[Revenue]]/Sales_Table[[#This Row],[Profit]])</f>
        <v>4.1999020088192065</v>
      </c>
    </row>
    <row r="949" spans="1:12" x14ac:dyDescent="0.5">
      <c r="A949" t="s">
        <v>1046</v>
      </c>
      <c r="B949">
        <v>8059</v>
      </c>
      <c r="C949">
        <v>1834</v>
      </c>
      <c r="D949">
        <v>10</v>
      </c>
      <c r="E949" t="s">
        <v>10</v>
      </c>
      <c r="F949" t="s">
        <v>22</v>
      </c>
      <c r="G949" t="s">
        <v>38</v>
      </c>
      <c r="H949" s="1">
        <v>44343</v>
      </c>
      <c r="I949" t="s">
        <v>1047</v>
      </c>
      <c r="J949" t="s">
        <v>17</v>
      </c>
      <c r="K949" t="s">
        <v>51</v>
      </c>
      <c r="L949" s="3">
        <f>IF(Sales_Table[[#This Row],[Revenue]]=0,0,Sales_Table[[#This Row],[Revenue]]/Sales_Table[[#This Row],[Profit]])</f>
        <v>4.3942202835332607</v>
      </c>
    </row>
    <row r="950" spans="1:12" x14ac:dyDescent="0.5">
      <c r="A950" t="s">
        <v>1046</v>
      </c>
      <c r="B950">
        <v>8059</v>
      </c>
      <c r="C950">
        <v>1834</v>
      </c>
      <c r="D950">
        <v>10</v>
      </c>
      <c r="E950" t="s">
        <v>10</v>
      </c>
      <c r="F950" t="s">
        <v>22</v>
      </c>
      <c r="G950" t="s">
        <v>38</v>
      </c>
      <c r="H950" s="1">
        <v>45112</v>
      </c>
      <c r="I950" t="s">
        <v>1048</v>
      </c>
      <c r="J950" t="s">
        <v>17</v>
      </c>
      <c r="K950" t="s">
        <v>51</v>
      </c>
      <c r="L950" s="3">
        <f>IF(Sales_Table[[#This Row],[Revenue]]=0,0,Sales_Table[[#This Row],[Revenue]]/Sales_Table[[#This Row],[Profit]])</f>
        <v>4.3942202835332607</v>
      </c>
    </row>
    <row r="951" spans="1:12" x14ac:dyDescent="0.5">
      <c r="A951" t="s">
        <v>1046</v>
      </c>
      <c r="B951">
        <v>8059</v>
      </c>
      <c r="C951">
        <v>1834</v>
      </c>
      <c r="D951">
        <v>10</v>
      </c>
      <c r="E951" t="s">
        <v>10</v>
      </c>
      <c r="F951" t="s">
        <v>22</v>
      </c>
      <c r="G951" t="s">
        <v>38</v>
      </c>
      <c r="H951" s="1">
        <v>44131</v>
      </c>
      <c r="I951" t="s">
        <v>1049</v>
      </c>
      <c r="J951" t="s">
        <v>34</v>
      </c>
      <c r="K951" t="s">
        <v>62</v>
      </c>
      <c r="L951" s="3">
        <f>IF(Sales_Table[[#This Row],[Revenue]]=0,0,Sales_Table[[#This Row],[Revenue]]/Sales_Table[[#This Row],[Profit]])</f>
        <v>4.3942202835332607</v>
      </c>
    </row>
    <row r="952" spans="1:12" x14ac:dyDescent="0.5">
      <c r="A952" t="s">
        <v>1050</v>
      </c>
      <c r="B952">
        <v>3661</v>
      </c>
      <c r="C952">
        <v>436</v>
      </c>
      <c r="D952">
        <v>13</v>
      </c>
      <c r="E952" t="s">
        <v>36</v>
      </c>
      <c r="F952" t="s">
        <v>48</v>
      </c>
      <c r="G952" t="s">
        <v>32</v>
      </c>
      <c r="H952" s="1">
        <v>44952</v>
      </c>
      <c r="I952" t="s">
        <v>1051</v>
      </c>
      <c r="J952" t="s">
        <v>59</v>
      </c>
      <c r="K952" t="s">
        <v>71</v>
      </c>
      <c r="L952" s="3">
        <f>IF(Sales_Table[[#This Row],[Revenue]]=0,0,Sales_Table[[#This Row],[Revenue]]/Sales_Table[[#This Row],[Profit]])</f>
        <v>8.3967889908256872</v>
      </c>
    </row>
    <row r="953" spans="1:12" x14ac:dyDescent="0.5">
      <c r="A953" t="s">
        <v>1052</v>
      </c>
      <c r="B953">
        <v>2451</v>
      </c>
      <c r="C953">
        <v>342</v>
      </c>
      <c r="D953">
        <v>8</v>
      </c>
      <c r="E953" t="s">
        <v>24</v>
      </c>
      <c r="F953" t="s">
        <v>52</v>
      </c>
      <c r="G953" t="s">
        <v>32</v>
      </c>
      <c r="H953" s="1">
        <v>44445</v>
      </c>
      <c r="I953" t="s">
        <v>1053</v>
      </c>
      <c r="J953" t="s">
        <v>34</v>
      </c>
      <c r="K953" t="s">
        <v>35</v>
      </c>
      <c r="L953" s="3">
        <f>IF(Sales_Table[[#This Row],[Revenue]]=0,0,Sales_Table[[#This Row],[Revenue]]/Sales_Table[[#This Row],[Profit]])</f>
        <v>7.166666666666667</v>
      </c>
    </row>
    <row r="954" spans="1:12" x14ac:dyDescent="0.5">
      <c r="A954" t="s">
        <v>1052</v>
      </c>
      <c r="B954">
        <v>2451</v>
      </c>
      <c r="C954">
        <v>342</v>
      </c>
      <c r="D954">
        <v>8</v>
      </c>
      <c r="E954" t="s">
        <v>24</v>
      </c>
      <c r="F954" t="s">
        <v>52</v>
      </c>
      <c r="G954" t="s">
        <v>32</v>
      </c>
      <c r="H954" s="1">
        <v>44512</v>
      </c>
      <c r="I954" t="s">
        <v>1054</v>
      </c>
      <c r="J954" t="s">
        <v>79</v>
      </c>
      <c r="K954" t="s">
        <v>86</v>
      </c>
      <c r="L954" s="3">
        <f>IF(Sales_Table[[#This Row],[Revenue]]=0,0,Sales_Table[[#This Row],[Revenue]]/Sales_Table[[#This Row],[Profit]])</f>
        <v>7.166666666666667</v>
      </c>
    </row>
    <row r="955" spans="1:12" x14ac:dyDescent="0.5">
      <c r="A955" t="s">
        <v>1052</v>
      </c>
      <c r="B955">
        <v>2451</v>
      </c>
      <c r="C955">
        <v>342</v>
      </c>
      <c r="D955">
        <v>8</v>
      </c>
      <c r="E955" t="s">
        <v>24</v>
      </c>
      <c r="F955" t="s">
        <v>52</v>
      </c>
      <c r="G955" t="s">
        <v>32</v>
      </c>
      <c r="H955" s="1">
        <v>45503</v>
      </c>
      <c r="I955" t="s">
        <v>1055</v>
      </c>
      <c r="J955" t="s">
        <v>59</v>
      </c>
      <c r="K955" t="s">
        <v>108</v>
      </c>
      <c r="L955" s="3">
        <f>IF(Sales_Table[[#This Row],[Revenue]]=0,0,Sales_Table[[#This Row],[Revenue]]/Sales_Table[[#This Row],[Profit]])</f>
        <v>7.166666666666667</v>
      </c>
    </row>
    <row r="956" spans="1:12" x14ac:dyDescent="0.5">
      <c r="A956" t="s">
        <v>1056</v>
      </c>
      <c r="B956">
        <v>7067</v>
      </c>
      <c r="C956">
        <v>1943</v>
      </c>
      <c r="D956">
        <v>16</v>
      </c>
      <c r="E956" t="s">
        <v>36</v>
      </c>
      <c r="F956" t="s">
        <v>37</v>
      </c>
      <c r="G956" t="s">
        <v>38</v>
      </c>
      <c r="H956" s="1">
        <v>44635</v>
      </c>
      <c r="I956" t="s">
        <v>1057</v>
      </c>
      <c r="J956" t="s">
        <v>34</v>
      </c>
      <c r="K956" t="s">
        <v>75</v>
      </c>
      <c r="L956" s="3">
        <f>IF(Sales_Table[[#This Row],[Revenue]]=0,0,Sales_Table[[#This Row],[Revenue]]/Sales_Table[[#This Row],[Profit]])</f>
        <v>3.6371590324240866</v>
      </c>
    </row>
    <row r="957" spans="1:12" x14ac:dyDescent="0.5">
      <c r="A957" t="s">
        <v>1058</v>
      </c>
      <c r="B957">
        <v>4307</v>
      </c>
      <c r="C957">
        <v>615</v>
      </c>
      <c r="D957">
        <v>3</v>
      </c>
      <c r="E957" t="s">
        <v>10</v>
      </c>
      <c r="F957" t="s">
        <v>11</v>
      </c>
      <c r="G957" t="s">
        <v>12</v>
      </c>
      <c r="H957" s="1">
        <v>45366</v>
      </c>
      <c r="I957" t="s">
        <v>1059</v>
      </c>
      <c r="J957" t="s">
        <v>20</v>
      </c>
      <c r="K957" t="s">
        <v>42</v>
      </c>
      <c r="L957" s="3">
        <f>IF(Sales_Table[[#This Row],[Revenue]]=0,0,Sales_Table[[#This Row],[Revenue]]/Sales_Table[[#This Row],[Profit]])</f>
        <v>7.0032520325203249</v>
      </c>
    </row>
    <row r="958" spans="1:12" x14ac:dyDescent="0.5">
      <c r="A958" t="s">
        <v>1058</v>
      </c>
      <c r="B958">
        <v>4307</v>
      </c>
      <c r="C958">
        <v>615</v>
      </c>
      <c r="D958">
        <v>3</v>
      </c>
      <c r="E958" t="s">
        <v>10</v>
      </c>
      <c r="F958" t="s">
        <v>11</v>
      </c>
      <c r="G958" t="s">
        <v>12</v>
      </c>
      <c r="H958" s="1">
        <v>44145</v>
      </c>
      <c r="I958" t="s">
        <v>1060</v>
      </c>
      <c r="J958" t="s">
        <v>17</v>
      </c>
      <c r="K958" t="s">
        <v>51</v>
      </c>
      <c r="L958" s="3">
        <f>IF(Sales_Table[[#This Row],[Revenue]]=0,0,Sales_Table[[#This Row],[Revenue]]/Sales_Table[[#This Row],[Profit]])</f>
        <v>7.0032520325203249</v>
      </c>
    </row>
    <row r="959" spans="1:12" x14ac:dyDescent="0.5">
      <c r="A959" t="s">
        <v>1058</v>
      </c>
      <c r="B959">
        <v>5694</v>
      </c>
      <c r="C959">
        <v>1134</v>
      </c>
      <c r="D959">
        <v>5</v>
      </c>
      <c r="E959" t="s">
        <v>36</v>
      </c>
      <c r="F959" t="s">
        <v>40</v>
      </c>
      <c r="G959" t="s">
        <v>32</v>
      </c>
      <c r="H959" s="1">
        <v>45366</v>
      </c>
      <c r="I959" t="s">
        <v>1059</v>
      </c>
      <c r="J959" t="s">
        <v>20</v>
      </c>
      <c r="K959" t="s">
        <v>42</v>
      </c>
      <c r="L959" s="3">
        <f>IF(Sales_Table[[#This Row],[Revenue]]=0,0,Sales_Table[[#This Row],[Revenue]]/Sales_Table[[#This Row],[Profit]])</f>
        <v>5.0211640211640214</v>
      </c>
    </row>
    <row r="960" spans="1:12" x14ac:dyDescent="0.5">
      <c r="A960" t="s">
        <v>1058</v>
      </c>
      <c r="B960">
        <v>5694</v>
      </c>
      <c r="C960">
        <v>1134</v>
      </c>
      <c r="D960">
        <v>5</v>
      </c>
      <c r="E960" t="s">
        <v>36</v>
      </c>
      <c r="F960" t="s">
        <v>40</v>
      </c>
      <c r="G960" t="s">
        <v>32</v>
      </c>
      <c r="H960" s="1">
        <v>44145</v>
      </c>
      <c r="I960" t="s">
        <v>1060</v>
      </c>
      <c r="J960" t="s">
        <v>17</v>
      </c>
      <c r="K960" t="s">
        <v>51</v>
      </c>
      <c r="L960" s="3">
        <f>IF(Sales_Table[[#This Row],[Revenue]]=0,0,Sales_Table[[#This Row],[Revenue]]/Sales_Table[[#This Row],[Profit]])</f>
        <v>5.0211640211640214</v>
      </c>
    </row>
    <row r="961" spans="1:12" x14ac:dyDescent="0.5">
      <c r="A961" t="s">
        <v>1061</v>
      </c>
      <c r="B961">
        <v>962</v>
      </c>
      <c r="C961">
        <v>298</v>
      </c>
      <c r="D961">
        <v>18</v>
      </c>
      <c r="E961" t="s">
        <v>24</v>
      </c>
      <c r="F961" t="s">
        <v>64</v>
      </c>
      <c r="G961" t="s">
        <v>38</v>
      </c>
      <c r="H961" s="1">
        <v>44765</v>
      </c>
      <c r="I961" t="s">
        <v>1062</v>
      </c>
      <c r="J961" t="s">
        <v>17</v>
      </c>
      <c r="K961" t="s">
        <v>51</v>
      </c>
      <c r="L961" s="3">
        <f>IF(Sales_Table[[#This Row],[Revenue]]=0,0,Sales_Table[[#This Row],[Revenue]]/Sales_Table[[#This Row],[Profit]])</f>
        <v>3.2281879194630871</v>
      </c>
    </row>
    <row r="962" spans="1:12" x14ac:dyDescent="0.5">
      <c r="A962" t="s">
        <v>1063</v>
      </c>
      <c r="B962">
        <v>2995</v>
      </c>
      <c r="C962">
        <v>220</v>
      </c>
      <c r="D962">
        <v>14</v>
      </c>
      <c r="E962" t="s">
        <v>36</v>
      </c>
      <c r="F962" t="s">
        <v>87</v>
      </c>
      <c r="G962" t="s">
        <v>38</v>
      </c>
      <c r="H962" s="1">
        <v>45548</v>
      </c>
      <c r="I962" t="s">
        <v>1064</v>
      </c>
      <c r="J962" t="s">
        <v>20</v>
      </c>
      <c r="K962" t="s">
        <v>21</v>
      </c>
      <c r="L962" s="3">
        <f>IF(Sales_Table[[#This Row],[Revenue]]=0,0,Sales_Table[[#This Row],[Revenue]]/Sales_Table[[#This Row],[Profit]])</f>
        <v>13.613636363636363</v>
      </c>
    </row>
    <row r="963" spans="1:12" x14ac:dyDescent="0.5">
      <c r="A963" t="s">
        <v>1063</v>
      </c>
      <c r="B963">
        <v>2047</v>
      </c>
      <c r="C963">
        <v>914</v>
      </c>
      <c r="D963">
        <v>5</v>
      </c>
      <c r="E963" t="s">
        <v>24</v>
      </c>
      <c r="F963" t="s">
        <v>46</v>
      </c>
      <c r="G963" t="s">
        <v>26</v>
      </c>
      <c r="H963" s="1">
        <v>45548</v>
      </c>
      <c r="I963" t="s">
        <v>1064</v>
      </c>
      <c r="J963" t="s">
        <v>20</v>
      </c>
      <c r="K963" t="s">
        <v>21</v>
      </c>
      <c r="L963" s="3">
        <f>IF(Sales_Table[[#This Row],[Revenue]]=0,0,Sales_Table[[#This Row],[Revenue]]/Sales_Table[[#This Row],[Profit]])</f>
        <v>2.2396061269146608</v>
      </c>
    </row>
    <row r="964" spans="1:12" x14ac:dyDescent="0.5">
      <c r="A964" t="s">
        <v>1065</v>
      </c>
      <c r="B964">
        <v>2078</v>
      </c>
      <c r="C964">
        <v>612</v>
      </c>
      <c r="D964">
        <v>6</v>
      </c>
      <c r="E964" t="s">
        <v>10</v>
      </c>
      <c r="F964" t="s">
        <v>31</v>
      </c>
      <c r="G964" t="s">
        <v>53</v>
      </c>
      <c r="H964" s="1">
        <v>44586</v>
      </c>
      <c r="I964" t="s">
        <v>1066</v>
      </c>
      <c r="J964" t="s">
        <v>59</v>
      </c>
      <c r="K964" t="s">
        <v>71</v>
      </c>
      <c r="L964" s="3">
        <f>IF(Sales_Table[[#This Row],[Revenue]]=0,0,Sales_Table[[#This Row],[Revenue]]/Sales_Table[[#This Row],[Profit]])</f>
        <v>3.3954248366013071</v>
      </c>
    </row>
    <row r="965" spans="1:12" x14ac:dyDescent="0.5">
      <c r="A965" t="s">
        <v>1067</v>
      </c>
      <c r="B965">
        <v>2737</v>
      </c>
      <c r="C965">
        <v>1253</v>
      </c>
      <c r="D965">
        <v>3</v>
      </c>
      <c r="E965" t="s">
        <v>10</v>
      </c>
      <c r="F965" t="s">
        <v>22</v>
      </c>
      <c r="G965" t="s">
        <v>32</v>
      </c>
      <c r="H965" s="1">
        <v>44305</v>
      </c>
      <c r="I965" t="s">
        <v>1068</v>
      </c>
      <c r="J965" t="s">
        <v>20</v>
      </c>
      <c r="K965" t="s">
        <v>42</v>
      </c>
      <c r="L965" s="3">
        <f>IF(Sales_Table[[#This Row],[Revenue]]=0,0,Sales_Table[[#This Row],[Revenue]]/Sales_Table[[#This Row],[Profit]])</f>
        <v>2.1843575418994412</v>
      </c>
    </row>
    <row r="966" spans="1:12" x14ac:dyDescent="0.5">
      <c r="A966" t="s">
        <v>1069</v>
      </c>
      <c r="B966">
        <v>8194</v>
      </c>
      <c r="C966">
        <v>2881</v>
      </c>
      <c r="D966">
        <v>6</v>
      </c>
      <c r="E966" t="s">
        <v>24</v>
      </c>
      <c r="F966" t="s">
        <v>52</v>
      </c>
      <c r="G966" t="s">
        <v>26</v>
      </c>
      <c r="H966" s="1">
        <v>44395</v>
      </c>
      <c r="I966" t="s">
        <v>1070</v>
      </c>
      <c r="J966" t="s">
        <v>59</v>
      </c>
      <c r="K966" t="s">
        <v>108</v>
      </c>
      <c r="L966" s="3">
        <f>IF(Sales_Table[[#This Row],[Revenue]]=0,0,Sales_Table[[#This Row],[Revenue]]/Sales_Table[[#This Row],[Profit]])</f>
        <v>2.844151336341548</v>
      </c>
    </row>
    <row r="967" spans="1:12" x14ac:dyDescent="0.5">
      <c r="A967" t="s">
        <v>1071</v>
      </c>
      <c r="B967">
        <v>9914</v>
      </c>
      <c r="C967">
        <v>3858</v>
      </c>
      <c r="D967">
        <v>16</v>
      </c>
      <c r="E967" t="s">
        <v>36</v>
      </c>
      <c r="F967" t="s">
        <v>48</v>
      </c>
      <c r="G967" t="s">
        <v>38</v>
      </c>
      <c r="H967" s="1">
        <v>44736</v>
      </c>
      <c r="I967" t="s">
        <v>1072</v>
      </c>
      <c r="J967" t="s">
        <v>20</v>
      </c>
      <c r="K967" t="s">
        <v>21</v>
      </c>
      <c r="L967" s="3">
        <f>IF(Sales_Table[[#This Row],[Revenue]]=0,0,Sales_Table[[#This Row],[Revenue]]/Sales_Table[[#This Row],[Profit]])</f>
        <v>2.5697252462415761</v>
      </c>
    </row>
    <row r="968" spans="1:12" x14ac:dyDescent="0.5">
      <c r="A968" t="s">
        <v>1071</v>
      </c>
      <c r="B968">
        <v>9914</v>
      </c>
      <c r="C968">
        <v>3858</v>
      </c>
      <c r="D968">
        <v>16</v>
      </c>
      <c r="E968" t="s">
        <v>36</v>
      </c>
      <c r="F968" t="s">
        <v>48</v>
      </c>
      <c r="G968" t="s">
        <v>38</v>
      </c>
      <c r="H968" s="1">
        <v>45451</v>
      </c>
      <c r="I968" t="s">
        <v>1073</v>
      </c>
      <c r="J968" t="s">
        <v>20</v>
      </c>
      <c r="K968" t="s">
        <v>56</v>
      </c>
      <c r="L968" s="3">
        <f>IF(Sales_Table[[#This Row],[Revenue]]=0,0,Sales_Table[[#This Row],[Revenue]]/Sales_Table[[#This Row],[Profit]])</f>
        <v>2.5697252462415761</v>
      </c>
    </row>
    <row r="969" spans="1:12" x14ac:dyDescent="0.5">
      <c r="A969" t="s">
        <v>1071</v>
      </c>
      <c r="B969">
        <v>5470</v>
      </c>
      <c r="C969">
        <v>292</v>
      </c>
      <c r="D969">
        <v>7</v>
      </c>
      <c r="E969" t="s">
        <v>24</v>
      </c>
      <c r="F969" t="s">
        <v>25</v>
      </c>
      <c r="G969" t="s">
        <v>26</v>
      </c>
      <c r="H969" s="1">
        <v>44736</v>
      </c>
      <c r="I969" t="s">
        <v>1072</v>
      </c>
      <c r="J969" t="s">
        <v>20</v>
      </c>
      <c r="K969" t="s">
        <v>21</v>
      </c>
      <c r="L969" s="3">
        <f>IF(Sales_Table[[#This Row],[Revenue]]=0,0,Sales_Table[[#This Row],[Revenue]]/Sales_Table[[#This Row],[Profit]])</f>
        <v>18.732876712328768</v>
      </c>
    </row>
    <row r="970" spans="1:12" x14ac:dyDescent="0.5">
      <c r="A970" t="s">
        <v>1071</v>
      </c>
      <c r="B970">
        <v>5470</v>
      </c>
      <c r="C970">
        <v>292</v>
      </c>
      <c r="D970">
        <v>7</v>
      </c>
      <c r="E970" t="s">
        <v>24</v>
      </c>
      <c r="F970" t="s">
        <v>25</v>
      </c>
      <c r="G970" t="s">
        <v>26</v>
      </c>
      <c r="H970" s="1">
        <v>45451</v>
      </c>
      <c r="I970" t="s">
        <v>1073</v>
      </c>
      <c r="J970" t="s">
        <v>20</v>
      </c>
      <c r="K970" t="s">
        <v>56</v>
      </c>
      <c r="L970" s="3">
        <f>IF(Sales_Table[[#This Row],[Revenue]]=0,0,Sales_Table[[#This Row],[Revenue]]/Sales_Table[[#This Row],[Profit]])</f>
        <v>18.732876712328768</v>
      </c>
    </row>
    <row r="971" spans="1:12" x14ac:dyDescent="0.5">
      <c r="A971" t="s">
        <v>1071</v>
      </c>
      <c r="B971">
        <v>1496</v>
      </c>
      <c r="C971">
        <v>662</v>
      </c>
      <c r="D971">
        <v>17</v>
      </c>
      <c r="E971" t="s">
        <v>36</v>
      </c>
      <c r="F971" t="s">
        <v>87</v>
      </c>
      <c r="G971" t="s">
        <v>12</v>
      </c>
      <c r="H971" s="1">
        <v>44736</v>
      </c>
      <c r="I971" t="s">
        <v>1072</v>
      </c>
      <c r="J971" t="s">
        <v>20</v>
      </c>
      <c r="K971" t="s">
        <v>21</v>
      </c>
      <c r="L971" s="3">
        <f>IF(Sales_Table[[#This Row],[Revenue]]=0,0,Sales_Table[[#This Row],[Revenue]]/Sales_Table[[#This Row],[Profit]])</f>
        <v>2.2598187311178246</v>
      </c>
    </row>
    <row r="972" spans="1:12" x14ac:dyDescent="0.5">
      <c r="A972" t="s">
        <v>1071</v>
      </c>
      <c r="B972">
        <v>1496</v>
      </c>
      <c r="C972">
        <v>662</v>
      </c>
      <c r="D972">
        <v>17</v>
      </c>
      <c r="E972" t="s">
        <v>36</v>
      </c>
      <c r="F972" t="s">
        <v>87</v>
      </c>
      <c r="G972" t="s">
        <v>12</v>
      </c>
      <c r="H972" s="1">
        <v>45451</v>
      </c>
      <c r="I972" t="s">
        <v>1073</v>
      </c>
      <c r="J972" t="s">
        <v>20</v>
      </c>
      <c r="K972" t="s">
        <v>56</v>
      </c>
      <c r="L972" s="3">
        <f>IF(Sales_Table[[#This Row],[Revenue]]=0,0,Sales_Table[[#This Row],[Revenue]]/Sales_Table[[#This Row],[Profit]])</f>
        <v>2.2598187311178246</v>
      </c>
    </row>
    <row r="973" spans="1:12" x14ac:dyDescent="0.5">
      <c r="A973" t="s">
        <v>1074</v>
      </c>
      <c r="B973">
        <v>3228</v>
      </c>
      <c r="C973">
        <v>476</v>
      </c>
      <c r="D973">
        <v>9</v>
      </c>
      <c r="E973" t="s">
        <v>24</v>
      </c>
      <c r="F973" t="s">
        <v>52</v>
      </c>
      <c r="G973" t="s">
        <v>53</v>
      </c>
      <c r="H973" s="1">
        <v>44833</v>
      </c>
      <c r="I973" t="s">
        <v>1075</v>
      </c>
      <c r="J973" t="s">
        <v>20</v>
      </c>
      <c r="K973" t="s">
        <v>42</v>
      </c>
      <c r="L973" s="3">
        <f>IF(Sales_Table[[#This Row],[Revenue]]=0,0,Sales_Table[[#This Row],[Revenue]]/Sales_Table[[#This Row],[Profit]])</f>
        <v>6.7815126050420167</v>
      </c>
    </row>
    <row r="974" spans="1:12" x14ac:dyDescent="0.5">
      <c r="A974" t="s">
        <v>1076</v>
      </c>
      <c r="B974">
        <v>3918</v>
      </c>
      <c r="C974">
        <v>749</v>
      </c>
      <c r="D974">
        <v>8</v>
      </c>
      <c r="E974" t="s">
        <v>10</v>
      </c>
      <c r="F974" t="s">
        <v>31</v>
      </c>
      <c r="G974" t="s">
        <v>38</v>
      </c>
      <c r="H974" s="1">
        <v>45056</v>
      </c>
      <c r="I974" t="s">
        <v>1077</v>
      </c>
      <c r="J974" t="s">
        <v>34</v>
      </c>
      <c r="K974" t="s">
        <v>62</v>
      </c>
      <c r="L974" s="3">
        <f>IF(Sales_Table[[#This Row],[Revenue]]=0,0,Sales_Table[[#This Row],[Revenue]]/Sales_Table[[#This Row],[Profit]])</f>
        <v>5.2309746328437914</v>
      </c>
    </row>
    <row r="975" spans="1:12" x14ac:dyDescent="0.5">
      <c r="A975" t="s">
        <v>1076</v>
      </c>
      <c r="B975">
        <v>3918</v>
      </c>
      <c r="C975">
        <v>749</v>
      </c>
      <c r="D975">
        <v>8</v>
      </c>
      <c r="E975" t="s">
        <v>10</v>
      </c>
      <c r="F975" t="s">
        <v>31</v>
      </c>
      <c r="G975" t="s">
        <v>38</v>
      </c>
      <c r="H975" s="1">
        <v>43953</v>
      </c>
      <c r="I975" t="s">
        <v>1078</v>
      </c>
      <c r="J975" t="s">
        <v>59</v>
      </c>
      <c r="K975" t="s">
        <v>108</v>
      </c>
      <c r="L975" s="3">
        <f>IF(Sales_Table[[#This Row],[Revenue]]=0,0,Sales_Table[[#This Row],[Revenue]]/Sales_Table[[#This Row],[Profit]])</f>
        <v>5.2309746328437914</v>
      </c>
    </row>
    <row r="976" spans="1:12" x14ac:dyDescent="0.5">
      <c r="A976" t="s">
        <v>1079</v>
      </c>
      <c r="B976">
        <v>9921</v>
      </c>
      <c r="C976">
        <v>1451</v>
      </c>
      <c r="D976">
        <v>15</v>
      </c>
      <c r="E976" t="s">
        <v>36</v>
      </c>
      <c r="F976" t="s">
        <v>48</v>
      </c>
      <c r="G976" t="s">
        <v>32</v>
      </c>
      <c r="H976" s="1">
        <v>44298</v>
      </c>
      <c r="I976" t="s">
        <v>1080</v>
      </c>
      <c r="J976" t="s">
        <v>17</v>
      </c>
      <c r="K976" t="s">
        <v>18</v>
      </c>
      <c r="L976" s="3">
        <f>IF(Sales_Table[[#This Row],[Revenue]]=0,0,Sales_Table[[#This Row],[Revenue]]/Sales_Table[[#This Row],[Profit]])</f>
        <v>6.8373535492763615</v>
      </c>
    </row>
    <row r="977" spans="1:12" x14ac:dyDescent="0.5">
      <c r="A977" t="s">
        <v>1081</v>
      </c>
      <c r="B977">
        <v>9694</v>
      </c>
      <c r="C977">
        <v>4361</v>
      </c>
      <c r="D977">
        <v>1</v>
      </c>
      <c r="E977" t="s">
        <v>36</v>
      </c>
      <c r="F977" t="s">
        <v>40</v>
      </c>
      <c r="G977" t="s">
        <v>32</v>
      </c>
      <c r="H977" s="1">
        <v>45234</v>
      </c>
      <c r="I977" t="s">
        <v>1082</v>
      </c>
      <c r="J977" t="s">
        <v>17</v>
      </c>
      <c r="K977" t="s">
        <v>51</v>
      </c>
      <c r="L977" s="3">
        <f>IF(Sales_Table[[#This Row],[Revenue]]=0,0,Sales_Table[[#This Row],[Revenue]]/Sales_Table[[#This Row],[Profit]])</f>
        <v>2.2228846594817702</v>
      </c>
    </row>
    <row r="978" spans="1:12" x14ac:dyDescent="0.5">
      <c r="A978" t="s">
        <v>1083</v>
      </c>
      <c r="B978">
        <v>5028</v>
      </c>
      <c r="C978">
        <v>1553</v>
      </c>
      <c r="D978">
        <v>13</v>
      </c>
      <c r="E978" t="s">
        <v>24</v>
      </c>
      <c r="F978" t="s">
        <v>52</v>
      </c>
      <c r="G978" t="s">
        <v>32</v>
      </c>
      <c r="H978" s="1">
        <v>43955</v>
      </c>
      <c r="I978" t="s">
        <v>1084</v>
      </c>
      <c r="J978" t="s">
        <v>14</v>
      </c>
      <c r="K978" t="s">
        <v>118</v>
      </c>
      <c r="L978" s="3">
        <f>IF(Sales_Table[[#This Row],[Revenue]]=0,0,Sales_Table[[#This Row],[Revenue]]/Sales_Table[[#This Row],[Profit]])</f>
        <v>3.2376046361880233</v>
      </c>
    </row>
    <row r="979" spans="1:12" x14ac:dyDescent="0.5">
      <c r="A979" t="s">
        <v>1085</v>
      </c>
      <c r="B979">
        <v>594</v>
      </c>
      <c r="C979">
        <v>67</v>
      </c>
      <c r="D979">
        <v>19</v>
      </c>
      <c r="E979" t="s">
        <v>24</v>
      </c>
      <c r="F979" t="s">
        <v>52</v>
      </c>
      <c r="G979" t="s">
        <v>26</v>
      </c>
      <c r="H979" s="1">
        <v>45179</v>
      </c>
      <c r="I979" t="s">
        <v>1086</v>
      </c>
      <c r="J979" t="s">
        <v>20</v>
      </c>
      <c r="K979" t="s">
        <v>21</v>
      </c>
      <c r="L979" s="3">
        <f>IF(Sales_Table[[#This Row],[Revenue]]=0,0,Sales_Table[[#This Row],[Revenue]]/Sales_Table[[#This Row],[Profit]])</f>
        <v>8.8656716417910442</v>
      </c>
    </row>
    <row r="980" spans="1:12" x14ac:dyDescent="0.5">
      <c r="A980" t="s">
        <v>1085</v>
      </c>
      <c r="B980">
        <v>594</v>
      </c>
      <c r="C980">
        <v>67</v>
      </c>
      <c r="D980">
        <v>19</v>
      </c>
      <c r="E980" t="s">
        <v>24</v>
      </c>
      <c r="F980" t="s">
        <v>52</v>
      </c>
      <c r="G980" t="s">
        <v>26</v>
      </c>
      <c r="H980" s="1">
        <v>45296</v>
      </c>
      <c r="I980" t="s">
        <v>1087</v>
      </c>
      <c r="J980" t="s">
        <v>14</v>
      </c>
      <c r="K980" t="s">
        <v>15</v>
      </c>
      <c r="L980" s="3">
        <f>IF(Sales_Table[[#This Row],[Revenue]]=0,0,Sales_Table[[#This Row],[Revenue]]/Sales_Table[[#This Row],[Profit]])</f>
        <v>8.8656716417910442</v>
      </c>
    </row>
    <row r="981" spans="1:12" x14ac:dyDescent="0.5">
      <c r="A981" t="s">
        <v>1085</v>
      </c>
      <c r="B981">
        <v>594</v>
      </c>
      <c r="C981">
        <v>67</v>
      </c>
      <c r="D981">
        <v>19</v>
      </c>
      <c r="E981" t="s">
        <v>24</v>
      </c>
      <c r="F981" t="s">
        <v>52</v>
      </c>
      <c r="G981" t="s">
        <v>26</v>
      </c>
      <c r="H981" s="1">
        <v>45420</v>
      </c>
      <c r="I981" t="s">
        <v>1088</v>
      </c>
      <c r="J981" t="s">
        <v>59</v>
      </c>
      <c r="K981" t="s">
        <v>71</v>
      </c>
      <c r="L981" s="3">
        <f>IF(Sales_Table[[#This Row],[Revenue]]=0,0,Sales_Table[[#This Row],[Revenue]]/Sales_Table[[#This Row],[Profit]])</f>
        <v>8.8656716417910442</v>
      </c>
    </row>
    <row r="982" spans="1:12" x14ac:dyDescent="0.5">
      <c r="A982" t="s">
        <v>1089</v>
      </c>
      <c r="B982">
        <v>5954</v>
      </c>
      <c r="C982">
        <v>2618</v>
      </c>
      <c r="D982">
        <v>11</v>
      </c>
      <c r="E982" t="s">
        <v>36</v>
      </c>
      <c r="F982" t="s">
        <v>37</v>
      </c>
      <c r="G982" t="s">
        <v>53</v>
      </c>
      <c r="H982" s="1">
        <v>45381</v>
      </c>
      <c r="I982" t="s">
        <v>1090</v>
      </c>
      <c r="J982" t="s">
        <v>79</v>
      </c>
      <c r="K982" t="s">
        <v>86</v>
      </c>
      <c r="L982" s="3">
        <f>IF(Sales_Table[[#This Row],[Revenue]]=0,0,Sales_Table[[#This Row],[Revenue]]/Sales_Table[[#This Row],[Profit]])</f>
        <v>2.2742551566080977</v>
      </c>
    </row>
    <row r="983" spans="1:12" x14ac:dyDescent="0.5">
      <c r="A983" t="s">
        <v>1091</v>
      </c>
      <c r="B983">
        <v>3518</v>
      </c>
      <c r="C983">
        <v>1051</v>
      </c>
      <c r="D983">
        <v>3</v>
      </c>
      <c r="E983" t="s">
        <v>36</v>
      </c>
      <c r="F983" t="s">
        <v>87</v>
      </c>
      <c r="G983" t="s">
        <v>12</v>
      </c>
      <c r="H983" s="1">
        <v>44084</v>
      </c>
      <c r="I983" t="s">
        <v>1092</v>
      </c>
      <c r="J983" t="s">
        <v>34</v>
      </c>
      <c r="K983" t="s">
        <v>75</v>
      </c>
      <c r="L983" s="3">
        <f>IF(Sales_Table[[#This Row],[Revenue]]=0,0,Sales_Table[[#This Row],[Revenue]]/Sales_Table[[#This Row],[Profit]])</f>
        <v>3.3472882968601332</v>
      </c>
    </row>
    <row r="984" spans="1:12" x14ac:dyDescent="0.5">
      <c r="A984" t="s">
        <v>1091</v>
      </c>
      <c r="B984">
        <v>4157</v>
      </c>
      <c r="C984">
        <v>1874</v>
      </c>
      <c r="D984">
        <v>8</v>
      </c>
      <c r="E984" t="s">
        <v>10</v>
      </c>
      <c r="F984" t="s">
        <v>31</v>
      </c>
      <c r="G984" t="s">
        <v>32</v>
      </c>
      <c r="H984" s="1">
        <v>44084</v>
      </c>
      <c r="I984" t="s">
        <v>1092</v>
      </c>
      <c r="J984" t="s">
        <v>34</v>
      </c>
      <c r="K984" t="s">
        <v>75</v>
      </c>
      <c r="L984" s="3">
        <f>IF(Sales_Table[[#This Row],[Revenue]]=0,0,Sales_Table[[#This Row],[Revenue]]/Sales_Table[[#This Row],[Profit]])</f>
        <v>2.2182497331910351</v>
      </c>
    </row>
    <row r="985" spans="1:12" x14ac:dyDescent="0.5">
      <c r="A985" t="s">
        <v>1093</v>
      </c>
      <c r="B985">
        <v>3747</v>
      </c>
      <c r="C985">
        <v>410</v>
      </c>
      <c r="D985">
        <v>5</v>
      </c>
      <c r="E985" t="s">
        <v>24</v>
      </c>
      <c r="F985" t="s">
        <v>46</v>
      </c>
      <c r="G985" t="s">
        <v>38</v>
      </c>
      <c r="H985" s="1">
        <v>44024</v>
      </c>
      <c r="I985" t="s">
        <v>1094</v>
      </c>
      <c r="J985" t="s">
        <v>17</v>
      </c>
      <c r="K985" t="s">
        <v>51</v>
      </c>
      <c r="L985" s="3">
        <f>IF(Sales_Table[[#This Row],[Revenue]]=0,0,Sales_Table[[#This Row],[Revenue]]/Sales_Table[[#This Row],[Profit]])</f>
        <v>9.1390243902439021</v>
      </c>
    </row>
    <row r="986" spans="1:12" x14ac:dyDescent="0.5">
      <c r="A986" t="s">
        <v>1093</v>
      </c>
      <c r="B986">
        <v>3747</v>
      </c>
      <c r="C986">
        <v>410</v>
      </c>
      <c r="D986">
        <v>5</v>
      </c>
      <c r="E986" t="s">
        <v>24</v>
      </c>
      <c r="F986" t="s">
        <v>46</v>
      </c>
      <c r="G986" t="s">
        <v>38</v>
      </c>
      <c r="H986" s="1">
        <v>44903</v>
      </c>
      <c r="I986" t="s">
        <v>1095</v>
      </c>
      <c r="J986" t="s">
        <v>20</v>
      </c>
      <c r="K986" t="s">
        <v>21</v>
      </c>
      <c r="L986" s="3">
        <f>IF(Sales_Table[[#This Row],[Revenue]]=0,0,Sales_Table[[#This Row],[Revenue]]/Sales_Table[[#This Row],[Profit]])</f>
        <v>9.1390243902439021</v>
      </c>
    </row>
    <row r="987" spans="1:12" x14ac:dyDescent="0.5">
      <c r="A987" t="s">
        <v>1093</v>
      </c>
      <c r="B987">
        <v>3747</v>
      </c>
      <c r="C987">
        <v>410</v>
      </c>
      <c r="D987">
        <v>5</v>
      </c>
      <c r="E987" t="s">
        <v>24</v>
      </c>
      <c r="F987" t="s">
        <v>46</v>
      </c>
      <c r="G987" t="s">
        <v>38</v>
      </c>
      <c r="H987" s="1">
        <v>45378</v>
      </c>
      <c r="I987" t="s">
        <v>1096</v>
      </c>
      <c r="J987" t="s">
        <v>79</v>
      </c>
      <c r="K987" t="s">
        <v>80</v>
      </c>
      <c r="L987" s="3">
        <f>IF(Sales_Table[[#This Row],[Revenue]]=0,0,Sales_Table[[#This Row],[Revenue]]/Sales_Table[[#This Row],[Profit]])</f>
        <v>9.1390243902439021</v>
      </c>
    </row>
    <row r="988" spans="1:12" x14ac:dyDescent="0.5">
      <c r="A988" t="s">
        <v>1093</v>
      </c>
      <c r="B988">
        <v>3747</v>
      </c>
      <c r="C988">
        <v>410</v>
      </c>
      <c r="D988">
        <v>5</v>
      </c>
      <c r="E988" t="s">
        <v>24</v>
      </c>
      <c r="F988" t="s">
        <v>46</v>
      </c>
      <c r="G988" t="s">
        <v>38</v>
      </c>
      <c r="H988" s="1">
        <v>44974</v>
      </c>
      <c r="I988" t="s">
        <v>1097</v>
      </c>
      <c r="J988" t="s">
        <v>17</v>
      </c>
      <c r="K988" t="s">
        <v>18</v>
      </c>
      <c r="L988" s="3">
        <f>IF(Sales_Table[[#This Row],[Revenue]]=0,0,Sales_Table[[#This Row],[Revenue]]/Sales_Table[[#This Row],[Profit]])</f>
        <v>9.1390243902439021</v>
      </c>
    </row>
    <row r="989" spans="1:12" x14ac:dyDescent="0.5">
      <c r="A989" t="s">
        <v>1093</v>
      </c>
      <c r="B989">
        <v>3747</v>
      </c>
      <c r="C989">
        <v>410</v>
      </c>
      <c r="D989">
        <v>5</v>
      </c>
      <c r="E989" t="s">
        <v>24</v>
      </c>
      <c r="F989" t="s">
        <v>46</v>
      </c>
      <c r="G989" t="s">
        <v>38</v>
      </c>
      <c r="H989" s="1">
        <v>44398</v>
      </c>
      <c r="I989" t="s">
        <v>1098</v>
      </c>
      <c r="J989" t="s">
        <v>34</v>
      </c>
      <c r="K989" t="s">
        <v>35</v>
      </c>
      <c r="L989" s="3">
        <f>IF(Sales_Table[[#This Row],[Revenue]]=0,0,Sales_Table[[#This Row],[Revenue]]/Sales_Table[[#This Row],[Profit]])</f>
        <v>9.1390243902439021</v>
      </c>
    </row>
    <row r="990" spans="1:12" x14ac:dyDescent="0.5">
      <c r="A990" t="s">
        <v>1093</v>
      </c>
      <c r="B990">
        <v>3194</v>
      </c>
      <c r="C990">
        <v>534</v>
      </c>
      <c r="D990">
        <v>4</v>
      </c>
      <c r="E990" t="s">
        <v>24</v>
      </c>
      <c r="F990" t="s">
        <v>64</v>
      </c>
      <c r="G990" t="s">
        <v>12</v>
      </c>
      <c r="H990" s="1">
        <v>44024</v>
      </c>
      <c r="I990" t="s">
        <v>1094</v>
      </c>
      <c r="J990" t="s">
        <v>17</v>
      </c>
      <c r="K990" t="s">
        <v>51</v>
      </c>
      <c r="L990" s="3">
        <f>IF(Sales_Table[[#This Row],[Revenue]]=0,0,Sales_Table[[#This Row],[Revenue]]/Sales_Table[[#This Row],[Profit]])</f>
        <v>5.9812734082397006</v>
      </c>
    </row>
    <row r="991" spans="1:12" x14ac:dyDescent="0.5">
      <c r="A991" t="s">
        <v>1093</v>
      </c>
      <c r="B991">
        <v>3194</v>
      </c>
      <c r="C991">
        <v>534</v>
      </c>
      <c r="D991">
        <v>4</v>
      </c>
      <c r="E991" t="s">
        <v>24</v>
      </c>
      <c r="F991" t="s">
        <v>64</v>
      </c>
      <c r="G991" t="s">
        <v>12</v>
      </c>
      <c r="H991" s="1">
        <v>44903</v>
      </c>
      <c r="I991" t="s">
        <v>1095</v>
      </c>
      <c r="J991" t="s">
        <v>20</v>
      </c>
      <c r="K991" t="s">
        <v>21</v>
      </c>
      <c r="L991" s="3">
        <f>IF(Sales_Table[[#This Row],[Revenue]]=0,0,Sales_Table[[#This Row],[Revenue]]/Sales_Table[[#This Row],[Profit]])</f>
        <v>5.9812734082397006</v>
      </c>
    </row>
    <row r="992" spans="1:12" x14ac:dyDescent="0.5">
      <c r="A992" t="s">
        <v>1093</v>
      </c>
      <c r="B992">
        <v>3194</v>
      </c>
      <c r="C992">
        <v>534</v>
      </c>
      <c r="D992">
        <v>4</v>
      </c>
      <c r="E992" t="s">
        <v>24</v>
      </c>
      <c r="F992" t="s">
        <v>64</v>
      </c>
      <c r="G992" t="s">
        <v>12</v>
      </c>
      <c r="H992" s="1">
        <v>45378</v>
      </c>
      <c r="I992" t="s">
        <v>1096</v>
      </c>
      <c r="J992" t="s">
        <v>79</v>
      </c>
      <c r="K992" t="s">
        <v>80</v>
      </c>
      <c r="L992" s="3">
        <f>IF(Sales_Table[[#This Row],[Revenue]]=0,0,Sales_Table[[#This Row],[Revenue]]/Sales_Table[[#This Row],[Profit]])</f>
        <v>5.9812734082397006</v>
      </c>
    </row>
    <row r="993" spans="1:12" x14ac:dyDescent="0.5">
      <c r="A993" t="s">
        <v>1093</v>
      </c>
      <c r="B993">
        <v>3194</v>
      </c>
      <c r="C993">
        <v>534</v>
      </c>
      <c r="D993">
        <v>4</v>
      </c>
      <c r="E993" t="s">
        <v>24</v>
      </c>
      <c r="F993" t="s">
        <v>64</v>
      </c>
      <c r="G993" t="s">
        <v>12</v>
      </c>
      <c r="H993" s="1">
        <v>44974</v>
      </c>
      <c r="I993" t="s">
        <v>1097</v>
      </c>
      <c r="J993" t="s">
        <v>17</v>
      </c>
      <c r="K993" t="s">
        <v>18</v>
      </c>
      <c r="L993" s="3">
        <f>IF(Sales_Table[[#This Row],[Revenue]]=0,0,Sales_Table[[#This Row],[Revenue]]/Sales_Table[[#This Row],[Profit]])</f>
        <v>5.9812734082397006</v>
      </c>
    </row>
    <row r="994" spans="1:12" x14ac:dyDescent="0.5">
      <c r="A994" t="s">
        <v>1093</v>
      </c>
      <c r="B994">
        <v>3194</v>
      </c>
      <c r="C994">
        <v>534</v>
      </c>
      <c r="D994">
        <v>4</v>
      </c>
      <c r="E994" t="s">
        <v>24</v>
      </c>
      <c r="F994" t="s">
        <v>64</v>
      </c>
      <c r="G994" t="s">
        <v>12</v>
      </c>
      <c r="H994" s="1">
        <v>44398</v>
      </c>
      <c r="I994" t="s">
        <v>1098</v>
      </c>
      <c r="J994" t="s">
        <v>34</v>
      </c>
      <c r="K994" t="s">
        <v>35</v>
      </c>
      <c r="L994" s="3">
        <f>IF(Sales_Table[[#This Row],[Revenue]]=0,0,Sales_Table[[#This Row],[Revenue]]/Sales_Table[[#This Row],[Profit]])</f>
        <v>5.9812734082397006</v>
      </c>
    </row>
    <row r="995" spans="1:12" x14ac:dyDescent="0.5">
      <c r="A995" t="s">
        <v>1099</v>
      </c>
      <c r="B995">
        <v>8548</v>
      </c>
      <c r="C995">
        <v>2305</v>
      </c>
      <c r="D995">
        <v>1</v>
      </c>
      <c r="E995" t="s">
        <v>24</v>
      </c>
      <c r="F995" t="s">
        <v>64</v>
      </c>
      <c r="G995" t="s">
        <v>53</v>
      </c>
      <c r="H995" s="1">
        <v>44864</v>
      </c>
      <c r="I995" t="s">
        <v>1100</v>
      </c>
      <c r="J995" t="s">
        <v>14</v>
      </c>
      <c r="K995" t="s">
        <v>118</v>
      </c>
      <c r="L995" s="3">
        <f>IF(Sales_Table[[#This Row],[Revenue]]=0,0,Sales_Table[[#This Row],[Revenue]]/Sales_Table[[#This Row],[Profit]])</f>
        <v>3.7084598698481561</v>
      </c>
    </row>
    <row r="996" spans="1:12" x14ac:dyDescent="0.5">
      <c r="A996" t="s">
        <v>1101</v>
      </c>
      <c r="B996">
        <v>6089</v>
      </c>
      <c r="C996">
        <v>139</v>
      </c>
      <c r="D996">
        <v>19</v>
      </c>
      <c r="E996" t="s">
        <v>36</v>
      </c>
      <c r="F996" t="s">
        <v>37</v>
      </c>
      <c r="G996" t="s">
        <v>26</v>
      </c>
      <c r="H996" s="1">
        <v>44196</v>
      </c>
      <c r="I996" t="s">
        <v>1102</v>
      </c>
      <c r="J996" t="s">
        <v>79</v>
      </c>
      <c r="K996" t="s">
        <v>86</v>
      </c>
      <c r="L996" s="3">
        <f>IF(Sales_Table[[#This Row],[Revenue]]=0,0,Sales_Table[[#This Row],[Revenue]]/Sales_Table[[#This Row],[Profit]])</f>
        <v>43.805755395683455</v>
      </c>
    </row>
    <row r="997" spans="1:12" x14ac:dyDescent="0.5">
      <c r="A997" t="s">
        <v>1101</v>
      </c>
      <c r="B997">
        <v>6089</v>
      </c>
      <c r="C997">
        <v>139</v>
      </c>
      <c r="D997">
        <v>19</v>
      </c>
      <c r="E997" t="s">
        <v>36</v>
      </c>
      <c r="F997" t="s">
        <v>37</v>
      </c>
      <c r="G997" t="s">
        <v>26</v>
      </c>
      <c r="H997" s="1">
        <v>44666</v>
      </c>
      <c r="I997" t="s">
        <v>1103</v>
      </c>
      <c r="J997" t="s">
        <v>79</v>
      </c>
      <c r="K997" t="s">
        <v>94</v>
      </c>
      <c r="L997" s="3">
        <f>IF(Sales_Table[[#This Row],[Revenue]]=0,0,Sales_Table[[#This Row],[Revenue]]/Sales_Table[[#This Row],[Profit]])</f>
        <v>43.805755395683455</v>
      </c>
    </row>
    <row r="998" spans="1:12" x14ac:dyDescent="0.5">
      <c r="A998" t="s">
        <v>1101</v>
      </c>
      <c r="B998">
        <v>6089</v>
      </c>
      <c r="C998">
        <v>139</v>
      </c>
      <c r="D998">
        <v>19</v>
      </c>
      <c r="E998" t="s">
        <v>36</v>
      </c>
      <c r="F998" t="s">
        <v>37</v>
      </c>
      <c r="G998" t="s">
        <v>26</v>
      </c>
      <c r="H998" s="1">
        <v>45021</v>
      </c>
      <c r="I998" t="s">
        <v>1104</v>
      </c>
      <c r="J998" t="s">
        <v>17</v>
      </c>
      <c r="K998" t="s">
        <v>18</v>
      </c>
      <c r="L998" s="3">
        <f>IF(Sales_Table[[#This Row],[Revenue]]=0,0,Sales_Table[[#This Row],[Revenue]]/Sales_Table[[#This Row],[Profit]])</f>
        <v>43.805755395683455</v>
      </c>
    </row>
    <row r="999" spans="1:12" x14ac:dyDescent="0.5">
      <c r="A999" t="s">
        <v>1101</v>
      </c>
      <c r="B999">
        <v>2586</v>
      </c>
      <c r="C999">
        <v>800</v>
      </c>
      <c r="D999">
        <v>16</v>
      </c>
      <c r="E999" t="s">
        <v>36</v>
      </c>
      <c r="F999" t="s">
        <v>37</v>
      </c>
      <c r="G999" t="s">
        <v>12</v>
      </c>
      <c r="H999" s="1">
        <v>44196</v>
      </c>
      <c r="I999" t="s">
        <v>1102</v>
      </c>
      <c r="J999" t="s">
        <v>79</v>
      </c>
      <c r="K999" t="s">
        <v>86</v>
      </c>
      <c r="L999" s="3">
        <f>IF(Sales_Table[[#This Row],[Revenue]]=0,0,Sales_Table[[#This Row],[Revenue]]/Sales_Table[[#This Row],[Profit]])</f>
        <v>3.2324999999999999</v>
      </c>
    </row>
    <row r="1000" spans="1:12" x14ac:dyDescent="0.5">
      <c r="A1000" t="s">
        <v>1101</v>
      </c>
      <c r="B1000">
        <v>2586</v>
      </c>
      <c r="C1000">
        <v>800</v>
      </c>
      <c r="D1000">
        <v>16</v>
      </c>
      <c r="E1000" t="s">
        <v>36</v>
      </c>
      <c r="F1000" t="s">
        <v>37</v>
      </c>
      <c r="G1000" t="s">
        <v>12</v>
      </c>
      <c r="H1000" s="1">
        <v>44666</v>
      </c>
      <c r="I1000" t="s">
        <v>1103</v>
      </c>
      <c r="J1000" t="s">
        <v>79</v>
      </c>
      <c r="K1000" t="s">
        <v>94</v>
      </c>
      <c r="L1000" s="3">
        <f>IF(Sales_Table[[#This Row],[Revenue]]=0,0,Sales_Table[[#This Row],[Revenue]]/Sales_Table[[#This Row],[Profit]])</f>
        <v>3.2324999999999999</v>
      </c>
    </row>
    <row r="1001" spans="1:12" x14ac:dyDescent="0.5">
      <c r="A1001" t="s">
        <v>1101</v>
      </c>
      <c r="B1001">
        <v>2586</v>
      </c>
      <c r="C1001">
        <v>800</v>
      </c>
      <c r="D1001">
        <v>16</v>
      </c>
      <c r="E1001" t="s">
        <v>36</v>
      </c>
      <c r="F1001" t="s">
        <v>37</v>
      </c>
      <c r="G1001" t="s">
        <v>12</v>
      </c>
      <c r="H1001" s="1">
        <v>45021</v>
      </c>
      <c r="I1001" t="s">
        <v>1104</v>
      </c>
      <c r="J1001" t="s">
        <v>17</v>
      </c>
      <c r="K1001" t="s">
        <v>18</v>
      </c>
      <c r="L1001" s="3">
        <f>IF(Sales_Table[[#This Row],[Revenue]]=0,0,Sales_Table[[#This Row],[Revenue]]/Sales_Table[[#This Row],[Profit]])</f>
        <v>3.2324999999999999</v>
      </c>
    </row>
    <row r="1002" spans="1:12" x14ac:dyDescent="0.5">
      <c r="A1002" t="s">
        <v>1101</v>
      </c>
      <c r="B1002">
        <v>3757</v>
      </c>
      <c r="C1002">
        <v>1626</v>
      </c>
      <c r="D1002">
        <v>9</v>
      </c>
      <c r="E1002" t="s">
        <v>24</v>
      </c>
      <c r="F1002" t="s">
        <v>52</v>
      </c>
      <c r="G1002" t="s">
        <v>12</v>
      </c>
      <c r="H1002" s="1">
        <v>44196</v>
      </c>
      <c r="I1002" t="s">
        <v>1102</v>
      </c>
      <c r="J1002" t="s">
        <v>79</v>
      </c>
      <c r="K1002" t="s">
        <v>86</v>
      </c>
      <c r="L1002" s="3">
        <f>IF(Sales_Table[[#This Row],[Revenue]]=0,0,Sales_Table[[#This Row],[Revenue]]/Sales_Table[[#This Row],[Profit]])</f>
        <v>2.3105781057810577</v>
      </c>
    </row>
    <row r="1003" spans="1:12" x14ac:dyDescent="0.5">
      <c r="A1003" t="s">
        <v>1101</v>
      </c>
      <c r="B1003">
        <v>3757</v>
      </c>
      <c r="C1003">
        <v>1626</v>
      </c>
      <c r="D1003">
        <v>9</v>
      </c>
      <c r="E1003" t="s">
        <v>24</v>
      </c>
      <c r="F1003" t="s">
        <v>52</v>
      </c>
      <c r="G1003" t="s">
        <v>12</v>
      </c>
      <c r="H1003" s="1">
        <v>44666</v>
      </c>
      <c r="I1003" t="s">
        <v>1103</v>
      </c>
      <c r="J1003" t="s">
        <v>79</v>
      </c>
      <c r="K1003" t="s">
        <v>94</v>
      </c>
      <c r="L1003" s="3">
        <f>IF(Sales_Table[[#This Row],[Revenue]]=0,0,Sales_Table[[#This Row],[Revenue]]/Sales_Table[[#This Row],[Profit]])</f>
        <v>2.3105781057810577</v>
      </c>
    </row>
    <row r="1004" spans="1:12" x14ac:dyDescent="0.5">
      <c r="A1004" t="s">
        <v>1101</v>
      </c>
      <c r="B1004">
        <v>3757</v>
      </c>
      <c r="C1004">
        <v>1626</v>
      </c>
      <c r="D1004">
        <v>9</v>
      </c>
      <c r="E1004" t="s">
        <v>24</v>
      </c>
      <c r="F1004" t="s">
        <v>52</v>
      </c>
      <c r="G1004" t="s">
        <v>12</v>
      </c>
      <c r="H1004" s="1">
        <v>45021</v>
      </c>
      <c r="I1004" t="s">
        <v>1104</v>
      </c>
      <c r="J1004" t="s">
        <v>17</v>
      </c>
      <c r="K1004" t="s">
        <v>18</v>
      </c>
      <c r="L1004" s="3">
        <f>IF(Sales_Table[[#This Row],[Revenue]]=0,0,Sales_Table[[#This Row],[Revenue]]/Sales_Table[[#This Row],[Profit]])</f>
        <v>2.3105781057810577</v>
      </c>
    </row>
    <row r="1005" spans="1:12" x14ac:dyDescent="0.5">
      <c r="A1005" t="s">
        <v>1105</v>
      </c>
      <c r="B1005">
        <v>5193</v>
      </c>
      <c r="C1005">
        <v>2530</v>
      </c>
      <c r="D1005">
        <v>5</v>
      </c>
      <c r="E1005" t="s">
        <v>36</v>
      </c>
      <c r="F1005" t="s">
        <v>48</v>
      </c>
      <c r="G1005" t="s">
        <v>26</v>
      </c>
      <c r="H1005" s="1">
        <v>44498</v>
      </c>
      <c r="I1005" t="s">
        <v>1106</v>
      </c>
      <c r="J1005" t="s">
        <v>34</v>
      </c>
      <c r="K1005" t="s">
        <v>62</v>
      </c>
      <c r="L1005" s="3">
        <f>IF(Sales_Table[[#This Row],[Revenue]]=0,0,Sales_Table[[#This Row],[Revenue]]/Sales_Table[[#This Row],[Profit]])</f>
        <v>2.0525691699604742</v>
      </c>
    </row>
    <row r="1006" spans="1:12" x14ac:dyDescent="0.5">
      <c r="A1006" t="s">
        <v>1105</v>
      </c>
      <c r="B1006">
        <v>5193</v>
      </c>
      <c r="C1006">
        <v>2530</v>
      </c>
      <c r="D1006">
        <v>5</v>
      </c>
      <c r="E1006" t="s">
        <v>36</v>
      </c>
      <c r="F1006" t="s">
        <v>48</v>
      </c>
      <c r="G1006" t="s">
        <v>26</v>
      </c>
      <c r="H1006" s="1">
        <v>45655</v>
      </c>
      <c r="I1006" t="s">
        <v>1107</v>
      </c>
      <c r="J1006" t="s">
        <v>14</v>
      </c>
      <c r="K1006" t="s">
        <v>15</v>
      </c>
      <c r="L1006" s="3">
        <f>IF(Sales_Table[[#This Row],[Revenue]]=0,0,Sales_Table[[#This Row],[Revenue]]/Sales_Table[[#This Row],[Profit]])</f>
        <v>2.0525691699604742</v>
      </c>
    </row>
    <row r="1007" spans="1:12" x14ac:dyDescent="0.5">
      <c r="A1007" t="s">
        <v>1108</v>
      </c>
      <c r="B1007">
        <v>7493</v>
      </c>
      <c r="C1007">
        <v>96</v>
      </c>
      <c r="D1007">
        <v>3</v>
      </c>
      <c r="E1007" t="s">
        <v>10</v>
      </c>
      <c r="F1007" t="s">
        <v>11</v>
      </c>
      <c r="G1007" t="s">
        <v>12</v>
      </c>
      <c r="H1007" s="1">
        <v>44054</v>
      </c>
      <c r="I1007" t="s">
        <v>1109</v>
      </c>
      <c r="J1007" t="s">
        <v>79</v>
      </c>
      <c r="K1007" t="s">
        <v>94</v>
      </c>
      <c r="L1007" s="3">
        <f>IF(Sales_Table[[#This Row],[Revenue]]=0,0,Sales_Table[[#This Row],[Revenue]]/Sales_Table[[#This Row],[Profit]])</f>
        <v>78.052083333333329</v>
      </c>
    </row>
    <row r="1008" spans="1:12" x14ac:dyDescent="0.5">
      <c r="A1008" t="s">
        <v>1110</v>
      </c>
      <c r="B1008">
        <v>2062</v>
      </c>
      <c r="C1008">
        <v>848</v>
      </c>
      <c r="D1008">
        <v>6</v>
      </c>
      <c r="E1008" t="s">
        <v>24</v>
      </c>
      <c r="F1008" t="s">
        <v>46</v>
      </c>
      <c r="G1008" t="s">
        <v>38</v>
      </c>
      <c r="H1008" s="1">
        <v>45355</v>
      </c>
      <c r="I1008" t="s">
        <v>1111</v>
      </c>
      <c r="J1008" t="s">
        <v>14</v>
      </c>
      <c r="K1008" t="s">
        <v>118</v>
      </c>
      <c r="L1008" s="3">
        <f>IF(Sales_Table[[#This Row],[Revenue]]=0,0,Sales_Table[[#This Row],[Revenue]]/Sales_Table[[#This Row],[Profit]])</f>
        <v>2.4316037735849059</v>
      </c>
    </row>
    <row r="1009" spans="1:12" x14ac:dyDescent="0.5">
      <c r="A1009" t="s">
        <v>1112</v>
      </c>
      <c r="B1009">
        <v>7163</v>
      </c>
      <c r="C1009">
        <v>1536</v>
      </c>
      <c r="D1009">
        <v>1</v>
      </c>
      <c r="E1009" t="s">
        <v>10</v>
      </c>
      <c r="F1009" t="s">
        <v>67</v>
      </c>
      <c r="G1009" t="s">
        <v>32</v>
      </c>
      <c r="H1009" s="1">
        <v>45216</v>
      </c>
      <c r="I1009" t="s">
        <v>1113</v>
      </c>
      <c r="J1009" t="s">
        <v>34</v>
      </c>
      <c r="K1009" t="s">
        <v>62</v>
      </c>
      <c r="L1009" s="3">
        <f>IF(Sales_Table[[#This Row],[Revenue]]=0,0,Sales_Table[[#This Row],[Revenue]]/Sales_Table[[#This Row],[Profit]])</f>
        <v>4.663411458333333</v>
      </c>
    </row>
    <row r="1010" spans="1:12" x14ac:dyDescent="0.5">
      <c r="A1010" t="s">
        <v>1114</v>
      </c>
      <c r="B1010">
        <v>4026</v>
      </c>
      <c r="C1010">
        <v>163</v>
      </c>
      <c r="D1010">
        <v>6</v>
      </c>
      <c r="E1010" t="s">
        <v>10</v>
      </c>
      <c r="F1010" t="s">
        <v>67</v>
      </c>
      <c r="G1010" t="s">
        <v>53</v>
      </c>
      <c r="H1010" s="1">
        <v>45135</v>
      </c>
      <c r="I1010" t="s">
        <v>1115</v>
      </c>
      <c r="J1010" t="s">
        <v>20</v>
      </c>
      <c r="K1010" t="s">
        <v>42</v>
      </c>
      <c r="L1010" s="3">
        <f>IF(Sales_Table[[#This Row],[Revenue]]=0,0,Sales_Table[[#This Row],[Revenue]]/Sales_Table[[#This Row],[Profit]])</f>
        <v>24.699386503067483</v>
      </c>
    </row>
    <row r="1011" spans="1:12" x14ac:dyDescent="0.5">
      <c r="A1011" t="s">
        <v>1116</v>
      </c>
      <c r="B1011">
        <v>1894</v>
      </c>
      <c r="C1011">
        <v>275</v>
      </c>
      <c r="D1011">
        <v>5</v>
      </c>
      <c r="E1011" t="s">
        <v>36</v>
      </c>
      <c r="F1011" t="s">
        <v>40</v>
      </c>
      <c r="G1011" t="s">
        <v>38</v>
      </c>
      <c r="H1011" s="1">
        <v>44527</v>
      </c>
      <c r="I1011" t="s">
        <v>1117</v>
      </c>
      <c r="J1011" t="s">
        <v>14</v>
      </c>
      <c r="K1011" t="s">
        <v>15</v>
      </c>
      <c r="L1011" s="3">
        <f>IF(Sales_Table[[#This Row],[Revenue]]=0,0,Sales_Table[[#This Row],[Revenue]]/Sales_Table[[#This Row],[Profit]])</f>
        <v>6.8872727272727277</v>
      </c>
    </row>
    <row r="1012" spans="1:12" x14ac:dyDescent="0.5">
      <c r="A1012" t="s">
        <v>1116</v>
      </c>
      <c r="B1012">
        <v>7144</v>
      </c>
      <c r="C1012">
        <v>192</v>
      </c>
      <c r="D1012">
        <v>13</v>
      </c>
      <c r="E1012" t="s">
        <v>10</v>
      </c>
      <c r="F1012" t="s">
        <v>11</v>
      </c>
      <c r="G1012" t="s">
        <v>38</v>
      </c>
      <c r="H1012" s="1">
        <v>44527</v>
      </c>
      <c r="I1012" t="s">
        <v>1117</v>
      </c>
      <c r="J1012" t="s">
        <v>14</v>
      </c>
      <c r="K1012" t="s">
        <v>15</v>
      </c>
      <c r="L1012" s="3">
        <f>IF(Sales_Table[[#This Row],[Revenue]]=0,0,Sales_Table[[#This Row],[Revenue]]/Sales_Table[[#This Row],[Profit]])</f>
        <v>37.208333333333336</v>
      </c>
    </row>
    <row r="1013" spans="1:12" x14ac:dyDescent="0.5">
      <c r="A1013" t="s">
        <v>1118</v>
      </c>
      <c r="B1013">
        <v>3482</v>
      </c>
      <c r="C1013">
        <v>1554</v>
      </c>
      <c r="D1013">
        <v>15</v>
      </c>
      <c r="E1013" t="s">
        <v>10</v>
      </c>
      <c r="F1013" t="s">
        <v>31</v>
      </c>
      <c r="G1013" t="s">
        <v>26</v>
      </c>
      <c r="H1013" s="1">
        <v>44083</v>
      </c>
      <c r="I1013" t="s">
        <v>1119</v>
      </c>
      <c r="J1013" t="s">
        <v>79</v>
      </c>
      <c r="K1013" t="s">
        <v>80</v>
      </c>
      <c r="L1013" s="3">
        <f>IF(Sales_Table[[#This Row],[Revenue]]=0,0,Sales_Table[[#This Row],[Revenue]]/Sales_Table[[#This Row],[Profit]])</f>
        <v>2.2406692406692406</v>
      </c>
    </row>
    <row r="1014" spans="1:12" x14ac:dyDescent="0.5">
      <c r="A1014" t="s">
        <v>1120</v>
      </c>
      <c r="B1014">
        <v>4172</v>
      </c>
      <c r="C1014">
        <v>235</v>
      </c>
      <c r="D1014">
        <v>5</v>
      </c>
      <c r="E1014" t="s">
        <v>24</v>
      </c>
      <c r="F1014" t="s">
        <v>52</v>
      </c>
      <c r="G1014" t="s">
        <v>32</v>
      </c>
      <c r="H1014" s="1">
        <v>44349</v>
      </c>
      <c r="I1014" t="s">
        <v>1121</v>
      </c>
      <c r="J1014" t="s">
        <v>79</v>
      </c>
      <c r="K1014" t="s">
        <v>94</v>
      </c>
      <c r="L1014" s="3">
        <f>IF(Sales_Table[[#This Row],[Revenue]]=0,0,Sales_Table[[#This Row],[Revenue]]/Sales_Table[[#This Row],[Profit]])</f>
        <v>17.753191489361701</v>
      </c>
    </row>
    <row r="1015" spans="1:12" x14ac:dyDescent="0.5">
      <c r="A1015" t="s">
        <v>1120</v>
      </c>
      <c r="B1015">
        <v>4172</v>
      </c>
      <c r="C1015">
        <v>235</v>
      </c>
      <c r="D1015">
        <v>5</v>
      </c>
      <c r="E1015" t="s">
        <v>24</v>
      </c>
      <c r="F1015" t="s">
        <v>52</v>
      </c>
      <c r="G1015" t="s">
        <v>32</v>
      </c>
      <c r="H1015" s="1">
        <v>44795</v>
      </c>
      <c r="I1015" t="s">
        <v>1122</v>
      </c>
      <c r="J1015" t="s">
        <v>14</v>
      </c>
      <c r="K1015" t="s">
        <v>28</v>
      </c>
      <c r="L1015" s="3">
        <f>IF(Sales_Table[[#This Row],[Revenue]]=0,0,Sales_Table[[#This Row],[Revenue]]/Sales_Table[[#This Row],[Profit]])</f>
        <v>17.753191489361701</v>
      </c>
    </row>
    <row r="1016" spans="1:12" x14ac:dyDescent="0.5">
      <c r="A1016" t="s">
        <v>1120</v>
      </c>
      <c r="B1016">
        <v>4172</v>
      </c>
      <c r="C1016">
        <v>235</v>
      </c>
      <c r="D1016">
        <v>5</v>
      </c>
      <c r="E1016" t="s">
        <v>24</v>
      </c>
      <c r="F1016" t="s">
        <v>52</v>
      </c>
      <c r="G1016" t="s">
        <v>32</v>
      </c>
      <c r="H1016" s="1">
        <v>45398</v>
      </c>
      <c r="I1016" t="s">
        <v>1123</v>
      </c>
      <c r="J1016" t="s">
        <v>17</v>
      </c>
      <c r="K1016" t="s">
        <v>51</v>
      </c>
      <c r="L1016" s="3">
        <f>IF(Sales_Table[[#This Row],[Revenue]]=0,0,Sales_Table[[#This Row],[Revenue]]/Sales_Table[[#This Row],[Profit]])</f>
        <v>17.753191489361701</v>
      </c>
    </row>
    <row r="1017" spans="1:12" x14ac:dyDescent="0.5">
      <c r="A1017" t="s">
        <v>1124</v>
      </c>
      <c r="B1017">
        <v>6265</v>
      </c>
      <c r="C1017">
        <v>155</v>
      </c>
      <c r="D1017">
        <v>8</v>
      </c>
      <c r="E1017" t="s">
        <v>36</v>
      </c>
      <c r="F1017" t="s">
        <v>48</v>
      </c>
      <c r="G1017" t="s">
        <v>53</v>
      </c>
      <c r="H1017" s="1">
        <v>44796</v>
      </c>
      <c r="I1017" t="s">
        <v>1125</v>
      </c>
      <c r="J1017" t="s">
        <v>79</v>
      </c>
      <c r="K1017" t="s">
        <v>86</v>
      </c>
      <c r="L1017" s="3">
        <f>IF(Sales_Table[[#This Row],[Revenue]]=0,0,Sales_Table[[#This Row],[Revenue]]/Sales_Table[[#This Row],[Profit]])</f>
        <v>40.41935483870968</v>
      </c>
    </row>
    <row r="1018" spans="1:12" x14ac:dyDescent="0.5">
      <c r="A1018" t="s">
        <v>1124</v>
      </c>
      <c r="B1018">
        <v>6265</v>
      </c>
      <c r="C1018">
        <v>155</v>
      </c>
      <c r="D1018">
        <v>8</v>
      </c>
      <c r="E1018" t="s">
        <v>36</v>
      </c>
      <c r="F1018" t="s">
        <v>48</v>
      </c>
      <c r="G1018" t="s">
        <v>53</v>
      </c>
      <c r="H1018" s="1">
        <v>44267</v>
      </c>
      <c r="I1018" t="s">
        <v>1126</v>
      </c>
      <c r="J1018" t="s">
        <v>79</v>
      </c>
      <c r="K1018" t="s">
        <v>94</v>
      </c>
      <c r="L1018" s="3">
        <f>IF(Sales_Table[[#This Row],[Revenue]]=0,0,Sales_Table[[#This Row],[Revenue]]/Sales_Table[[#This Row],[Profit]])</f>
        <v>40.41935483870968</v>
      </c>
    </row>
    <row r="1019" spans="1:12" x14ac:dyDescent="0.5">
      <c r="A1019" t="s">
        <v>1127</v>
      </c>
      <c r="B1019">
        <v>2931</v>
      </c>
      <c r="C1019">
        <v>212</v>
      </c>
      <c r="D1019">
        <v>7</v>
      </c>
      <c r="E1019" t="s">
        <v>10</v>
      </c>
      <c r="F1019" t="s">
        <v>11</v>
      </c>
      <c r="G1019" t="s">
        <v>38</v>
      </c>
      <c r="H1019" s="1">
        <v>45469</v>
      </c>
      <c r="I1019" t="s">
        <v>1128</v>
      </c>
      <c r="J1019" t="s">
        <v>17</v>
      </c>
      <c r="K1019" t="s">
        <v>134</v>
      </c>
      <c r="L1019" s="3">
        <f>IF(Sales_Table[[#This Row],[Revenue]]=0,0,Sales_Table[[#This Row],[Revenue]]/Sales_Table[[#This Row],[Profit]])</f>
        <v>13.825471698113208</v>
      </c>
    </row>
    <row r="1020" spans="1:12" x14ac:dyDescent="0.5">
      <c r="A1020" t="s">
        <v>1127</v>
      </c>
      <c r="B1020">
        <v>2931</v>
      </c>
      <c r="C1020">
        <v>212</v>
      </c>
      <c r="D1020">
        <v>7</v>
      </c>
      <c r="E1020" t="s">
        <v>10</v>
      </c>
      <c r="F1020" t="s">
        <v>11</v>
      </c>
      <c r="G1020" t="s">
        <v>38</v>
      </c>
      <c r="H1020" s="1">
        <v>45268</v>
      </c>
      <c r="I1020" t="s">
        <v>1129</v>
      </c>
      <c r="J1020" t="s">
        <v>14</v>
      </c>
      <c r="K1020" t="s">
        <v>118</v>
      </c>
      <c r="L1020" s="3">
        <f>IF(Sales_Table[[#This Row],[Revenue]]=0,0,Sales_Table[[#This Row],[Revenue]]/Sales_Table[[#This Row],[Profit]])</f>
        <v>13.825471698113208</v>
      </c>
    </row>
    <row r="1021" spans="1:12" x14ac:dyDescent="0.5">
      <c r="A1021" t="s">
        <v>1130</v>
      </c>
      <c r="B1021">
        <v>1146</v>
      </c>
      <c r="C1021">
        <v>188</v>
      </c>
      <c r="D1021">
        <v>9</v>
      </c>
      <c r="E1021" t="s">
        <v>36</v>
      </c>
      <c r="F1021" t="s">
        <v>40</v>
      </c>
      <c r="G1021" t="s">
        <v>26</v>
      </c>
      <c r="H1021" s="1">
        <v>45623</v>
      </c>
      <c r="I1021" t="s">
        <v>1131</v>
      </c>
      <c r="J1021" t="s">
        <v>14</v>
      </c>
      <c r="K1021" t="s">
        <v>118</v>
      </c>
      <c r="L1021" s="3">
        <f>IF(Sales_Table[[#This Row],[Revenue]]=0,0,Sales_Table[[#This Row],[Revenue]]/Sales_Table[[#This Row],[Profit]])</f>
        <v>6.0957446808510642</v>
      </c>
    </row>
    <row r="1022" spans="1:12" x14ac:dyDescent="0.5">
      <c r="A1022" t="s">
        <v>1132</v>
      </c>
      <c r="B1022">
        <v>9215</v>
      </c>
      <c r="C1022">
        <v>767</v>
      </c>
      <c r="D1022">
        <v>13</v>
      </c>
      <c r="E1022" t="s">
        <v>10</v>
      </c>
      <c r="F1022" t="s">
        <v>22</v>
      </c>
      <c r="G1022" t="s">
        <v>53</v>
      </c>
      <c r="H1022" s="1">
        <v>44571</v>
      </c>
      <c r="I1022" t="s">
        <v>1133</v>
      </c>
      <c r="J1022" t="s">
        <v>14</v>
      </c>
      <c r="K1022" t="s">
        <v>118</v>
      </c>
      <c r="L1022" s="3">
        <f>IF(Sales_Table[[#This Row],[Revenue]]=0,0,Sales_Table[[#This Row],[Revenue]]/Sales_Table[[#This Row],[Profit]])</f>
        <v>12.014341590612776</v>
      </c>
    </row>
    <row r="1023" spans="1:12" x14ac:dyDescent="0.5">
      <c r="A1023" t="s">
        <v>1132</v>
      </c>
      <c r="B1023">
        <v>9215</v>
      </c>
      <c r="C1023">
        <v>767</v>
      </c>
      <c r="D1023">
        <v>13</v>
      </c>
      <c r="E1023" t="s">
        <v>10</v>
      </c>
      <c r="F1023" t="s">
        <v>22</v>
      </c>
      <c r="G1023" t="s">
        <v>53</v>
      </c>
      <c r="H1023" s="1">
        <v>44501</v>
      </c>
      <c r="I1023" t="s">
        <v>1134</v>
      </c>
      <c r="J1023" t="s">
        <v>34</v>
      </c>
      <c r="K1023" t="s">
        <v>75</v>
      </c>
      <c r="L1023" s="3">
        <f>IF(Sales_Table[[#This Row],[Revenue]]=0,0,Sales_Table[[#This Row],[Revenue]]/Sales_Table[[#This Row],[Profit]])</f>
        <v>12.014341590612776</v>
      </c>
    </row>
    <row r="1024" spans="1:12" x14ac:dyDescent="0.5">
      <c r="A1024" t="s">
        <v>1135</v>
      </c>
      <c r="B1024">
        <v>7895</v>
      </c>
      <c r="C1024">
        <v>1005</v>
      </c>
      <c r="D1024">
        <v>1</v>
      </c>
      <c r="E1024" t="s">
        <v>36</v>
      </c>
      <c r="F1024" t="s">
        <v>40</v>
      </c>
      <c r="G1024" t="s">
        <v>38</v>
      </c>
      <c r="H1024" s="1">
        <v>45227</v>
      </c>
      <c r="I1024" t="s">
        <v>1136</v>
      </c>
      <c r="J1024" t="s">
        <v>79</v>
      </c>
      <c r="K1024" t="s">
        <v>86</v>
      </c>
      <c r="L1024" s="3">
        <f>IF(Sales_Table[[#This Row],[Revenue]]=0,0,Sales_Table[[#This Row],[Revenue]]/Sales_Table[[#This Row],[Profit]])</f>
        <v>7.855721393034826</v>
      </c>
    </row>
    <row r="1025" spans="1:12" x14ac:dyDescent="0.5">
      <c r="A1025" t="s">
        <v>1135</v>
      </c>
      <c r="B1025">
        <v>7895</v>
      </c>
      <c r="C1025">
        <v>1005</v>
      </c>
      <c r="D1025">
        <v>1</v>
      </c>
      <c r="E1025" t="s">
        <v>36</v>
      </c>
      <c r="F1025" t="s">
        <v>40</v>
      </c>
      <c r="G1025" t="s">
        <v>38</v>
      </c>
      <c r="H1025" s="1">
        <v>45717</v>
      </c>
      <c r="I1025" t="s">
        <v>1137</v>
      </c>
      <c r="J1025" t="s">
        <v>34</v>
      </c>
      <c r="K1025" t="s">
        <v>62</v>
      </c>
      <c r="L1025" s="3">
        <f>IF(Sales_Table[[#This Row],[Revenue]]=0,0,Sales_Table[[#This Row],[Revenue]]/Sales_Table[[#This Row],[Profit]])</f>
        <v>7.855721393034826</v>
      </c>
    </row>
    <row r="1026" spans="1:12" x14ac:dyDescent="0.5">
      <c r="A1026" t="s">
        <v>1135</v>
      </c>
      <c r="B1026">
        <v>2740</v>
      </c>
      <c r="C1026">
        <v>558</v>
      </c>
      <c r="D1026">
        <v>8</v>
      </c>
      <c r="E1026" t="s">
        <v>24</v>
      </c>
      <c r="F1026" t="s">
        <v>25</v>
      </c>
      <c r="G1026" t="s">
        <v>12</v>
      </c>
      <c r="H1026" s="1">
        <v>45227</v>
      </c>
      <c r="I1026" t="s">
        <v>1136</v>
      </c>
      <c r="J1026" t="s">
        <v>79</v>
      </c>
      <c r="K1026" t="s">
        <v>86</v>
      </c>
      <c r="L1026" s="3">
        <f>IF(Sales_Table[[#This Row],[Revenue]]=0,0,Sales_Table[[#This Row],[Revenue]]/Sales_Table[[#This Row],[Profit]])</f>
        <v>4.9103942652329753</v>
      </c>
    </row>
    <row r="1027" spans="1:12" x14ac:dyDescent="0.5">
      <c r="A1027" t="s">
        <v>1135</v>
      </c>
      <c r="B1027">
        <v>2740</v>
      </c>
      <c r="C1027">
        <v>558</v>
      </c>
      <c r="D1027">
        <v>8</v>
      </c>
      <c r="E1027" t="s">
        <v>24</v>
      </c>
      <c r="F1027" t="s">
        <v>25</v>
      </c>
      <c r="G1027" t="s">
        <v>12</v>
      </c>
      <c r="H1027" s="1">
        <v>45717</v>
      </c>
      <c r="I1027" t="s">
        <v>1137</v>
      </c>
      <c r="J1027" t="s">
        <v>34</v>
      </c>
      <c r="K1027" t="s">
        <v>62</v>
      </c>
      <c r="L1027" s="3">
        <f>IF(Sales_Table[[#This Row],[Revenue]]=0,0,Sales_Table[[#This Row],[Revenue]]/Sales_Table[[#This Row],[Profit]])</f>
        <v>4.9103942652329753</v>
      </c>
    </row>
    <row r="1028" spans="1:12" x14ac:dyDescent="0.5">
      <c r="A1028" t="s">
        <v>1138</v>
      </c>
      <c r="B1028">
        <v>5338</v>
      </c>
      <c r="C1028">
        <v>1354</v>
      </c>
      <c r="D1028">
        <v>16</v>
      </c>
      <c r="E1028" t="s">
        <v>24</v>
      </c>
      <c r="F1028" t="s">
        <v>46</v>
      </c>
      <c r="G1028" t="s">
        <v>12</v>
      </c>
      <c r="H1028" s="1">
        <v>45505</v>
      </c>
      <c r="I1028" t="s">
        <v>1139</v>
      </c>
      <c r="J1028" t="s">
        <v>17</v>
      </c>
      <c r="K1028" t="s">
        <v>134</v>
      </c>
      <c r="L1028" s="3">
        <f>IF(Sales_Table[[#This Row],[Revenue]]=0,0,Sales_Table[[#This Row],[Revenue]]/Sales_Table[[#This Row],[Profit]])</f>
        <v>3.9423929098966028</v>
      </c>
    </row>
    <row r="1029" spans="1:12" x14ac:dyDescent="0.5">
      <c r="A1029" t="s">
        <v>1138</v>
      </c>
      <c r="B1029">
        <v>5338</v>
      </c>
      <c r="C1029">
        <v>1354</v>
      </c>
      <c r="D1029">
        <v>16</v>
      </c>
      <c r="E1029" t="s">
        <v>24</v>
      </c>
      <c r="F1029" t="s">
        <v>46</v>
      </c>
      <c r="G1029" t="s">
        <v>12</v>
      </c>
      <c r="H1029" s="1">
        <v>45084</v>
      </c>
      <c r="I1029" t="s">
        <v>1140</v>
      </c>
      <c r="J1029" t="s">
        <v>20</v>
      </c>
      <c r="K1029" t="s">
        <v>21</v>
      </c>
      <c r="L1029" s="3">
        <f>IF(Sales_Table[[#This Row],[Revenue]]=0,0,Sales_Table[[#This Row],[Revenue]]/Sales_Table[[#This Row],[Profit]])</f>
        <v>3.9423929098966028</v>
      </c>
    </row>
    <row r="1030" spans="1:12" x14ac:dyDescent="0.5">
      <c r="A1030" t="s">
        <v>1138</v>
      </c>
      <c r="B1030">
        <v>5338</v>
      </c>
      <c r="C1030">
        <v>1354</v>
      </c>
      <c r="D1030">
        <v>16</v>
      </c>
      <c r="E1030" t="s">
        <v>24</v>
      </c>
      <c r="F1030" t="s">
        <v>46</v>
      </c>
      <c r="G1030" t="s">
        <v>12</v>
      </c>
      <c r="H1030" s="1">
        <v>45586</v>
      </c>
      <c r="I1030" t="s">
        <v>1141</v>
      </c>
      <c r="J1030" t="s">
        <v>14</v>
      </c>
      <c r="K1030" t="s">
        <v>28</v>
      </c>
      <c r="L1030" s="3">
        <f>IF(Sales_Table[[#This Row],[Revenue]]=0,0,Sales_Table[[#This Row],[Revenue]]/Sales_Table[[#This Row],[Profit]])</f>
        <v>3.9423929098966028</v>
      </c>
    </row>
    <row r="1031" spans="1:12" x14ac:dyDescent="0.5">
      <c r="A1031" t="s">
        <v>1138</v>
      </c>
      <c r="B1031">
        <v>5338</v>
      </c>
      <c r="C1031">
        <v>1354</v>
      </c>
      <c r="D1031">
        <v>16</v>
      </c>
      <c r="E1031" t="s">
        <v>24</v>
      </c>
      <c r="F1031" t="s">
        <v>46</v>
      </c>
      <c r="G1031" t="s">
        <v>12</v>
      </c>
      <c r="H1031" s="1">
        <v>44200</v>
      </c>
      <c r="I1031" t="s">
        <v>1142</v>
      </c>
      <c r="J1031" t="s">
        <v>20</v>
      </c>
      <c r="K1031" t="s">
        <v>21</v>
      </c>
      <c r="L1031" s="3">
        <f>IF(Sales_Table[[#This Row],[Revenue]]=0,0,Sales_Table[[#This Row],[Revenue]]/Sales_Table[[#This Row],[Profit]])</f>
        <v>3.9423929098966028</v>
      </c>
    </row>
    <row r="1032" spans="1:12" x14ac:dyDescent="0.5">
      <c r="A1032" t="s">
        <v>1143</v>
      </c>
      <c r="B1032">
        <v>3095</v>
      </c>
      <c r="C1032">
        <v>941</v>
      </c>
      <c r="D1032">
        <v>2</v>
      </c>
      <c r="E1032" t="s">
        <v>24</v>
      </c>
      <c r="F1032" t="s">
        <v>25</v>
      </c>
      <c r="G1032" t="s">
        <v>32</v>
      </c>
      <c r="H1032" s="1">
        <v>44670</v>
      </c>
      <c r="I1032" t="s">
        <v>1144</v>
      </c>
      <c r="J1032" t="s">
        <v>79</v>
      </c>
      <c r="K1032" t="s">
        <v>94</v>
      </c>
      <c r="L1032" s="3">
        <f>IF(Sales_Table[[#This Row],[Revenue]]=0,0,Sales_Table[[#This Row],[Revenue]]/Sales_Table[[#This Row],[Profit]])</f>
        <v>3.2890541976620615</v>
      </c>
    </row>
    <row r="1033" spans="1:12" x14ac:dyDescent="0.5">
      <c r="A1033" t="s">
        <v>1143</v>
      </c>
      <c r="B1033">
        <v>3095</v>
      </c>
      <c r="C1033">
        <v>941</v>
      </c>
      <c r="D1033">
        <v>2</v>
      </c>
      <c r="E1033" t="s">
        <v>24</v>
      </c>
      <c r="F1033" t="s">
        <v>25</v>
      </c>
      <c r="G1033" t="s">
        <v>32</v>
      </c>
      <c r="H1033" s="1">
        <v>44784</v>
      </c>
      <c r="I1033" t="s">
        <v>1145</v>
      </c>
      <c r="J1033" t="s">
        <v>59</v>
      </c>
      <c r="K1033" t="s">
        <v>71</v>
      </c>
      <c r="L1033" s="3">
        <f>IF(Sales_Table[[#This Row],[Revenue]]=0,0,Sales_Table[[#This Row],[Revenue]]/Sales_Table[[#This Row],[Profit]])</f>
        <v>3.2890541976620615</v>
      </c>
    </row>
    <row r="1034" spans="1:12" x14ac:dyDescent="0.5">
      <c r="A1034" t="s">
        <v>1146</v>
      </c>
      <c r="B1034">
        <v>6017</v>
      </c>
      <c r="C1034">
        <v>2230</v>
      </c>
      <c r="D1034">
        <v>13</v>
      </c>
      <c r="E1034" t="s">
        <v>10</v>
      </c>
      <c r="F1034" t="s">
        <v>22</v>
      </c>
      <c r="G1034" t="s">
        <v>26</v>
      </c>
      <c r="H1034" s="1">
        <v>45142</v>
      </c>
      <c r="I1034" t="s">
        <v>1147</v>
      </c>
      <c r="J1034" t="s">
        <v>17</v>
      </c>
      <c r="K1034" t="s">
        <v>134</v>
      </c>
      <c r="L1034" s="3">
        <f>IF(Sales_Table[[#This Row],[Revenue]]=0,0,Sales_Table[[#This Row],[Revenue]]/Sales_Table[[#This Row],[Profit]])</f>
        <v>2.6982062780269058</v>
      </c>
    </row>
    <row r="1035" spans="1:12" x14ac:dyDescent="0.5">
      <c r="A1035" t="s">
        <v>1148</v>
      </c>
      <c r="B1035">
        <v>4904</v>
      </c>
      <c r="C1035">
        <v>469</v>
      </c>
      <c r="D1035">
        <v>2</v>
      </c>
      <c r="E1035" t="s">
        <v>24</v>
      </c>
      <c r="F1035" t="s">
        <v>25</v>
      </c>
      <c r="G1035" t="s">
        <v>26</v>
      </c>
      <c r="H1035" s="1">
        <v>43946</v>
      </c>
      <c r="I1035" t="s">
        <v>1149</v>
      </c>
      <c r="J1035" t="s">
        <v>59</v>
      </c>
      <c r="K1035" t="s">
        <v>60</v>
      </c>
      <c r="L1035" s="3">
        <f>IF(Sales_Table[[#This Row],[Revenue]]=0,0,Sales_Table[[#This Row],[Revenue]]/Sales_Table[[#This Row],[Profit]])</f>
        <v>10.456289978678038</v>
      </c>
    </row>
    <row r="1036" spans="1:12" x14ac:dyDescent="0.5">
      <c r="A1036" t="s">
        <v>1148</v>
      </c>
      <c r="B1036">
        <v>3080</v>
      </c>
      <c r="C1036">
        <v>737</v>
      </c>
      <c r="D1036">
        <v>6</v>
      </c>
      <c r="E1036" t="s">
        <v>24</v>
      </c>
      <c r="F1036" t="s">
        <v>64</v>
      </c>
      <c r="G1036" t="s">
        <v>12</v>
      </c>
      <c r="H1036" s="1">
        <v>43946</v>
      </c>
      <c r="I1036" t="s">
        <v>1149</v>
      </c>
      <c r="J1036" t="s">
        <v>59</v>
      </c>
      <c r="K1036" t="s">
        <v>60</v>
      </c>
      <c r="L1036" s="3">
        <f>IF(Sales_Table[[#This Row],[Revenue]]=0,0,Sales_Table[[#This Row],[Revenue]]/Sales_Table[[#This Row],[Profit]])</f>
        <v>4.1791044776119399</v>
      </c>
    </row>
    <row r="1037" spans="1:12" x14ac:dyDescent="0.5">
      <c r="A1037" t="s">
        <v>1150</v>
      </c>
      <c r="B1037">
        <v>1992</v>
      </c>
      <c r="C1037">
        <v>355</v>
      </c>
      <c r="D1037">
        <v>2</v>
      </c>
      <c r="E1037" t="s">
        <v>10</v>
      </c>
      <c r="F1037" t="s">
        <v>67</v>
      </c>
      <c r="G1037" t="s">
        <v>53</v>
      </c>
      <c r="H1037" s="1">
        <v>45640</v>
      </c>
      <c r="I1037" t="s">
        <v>1151</v>
      </c>
      <c r="J1037" t="s">
        <v>14</v>
      </c>
      <c r="K1037" t="s">
        <v>118</v>
      </c>
      <c r="L1037" s="3">
        <f>IF(Sales_Table[[#This Row],[Revenue]]=0,0,Sales_Table[[#This Row],[Revenue]]/Sales_Table[[#This Row],[Profit]])</f>
        <v>5.6112676056338024</v>
      </c>
    </row>
    <row r="1038" spans="1:12" x14ac:dyDescent="0.5">
      <c r="A1038" t="s">
        <v>1152</v>
      </c>
      <c r="B1038">
        <v>5346</v>
      </c>
      <c r="C1038">
        <v>1246</v>
      </c>
      <c r="D1038">
        <v>17</v>
      </c>
      <c r="E1038" t="s">
        <v>36</v>
      </c>
      <c r="F1038" t="s">
        <v>48</v>
      </c>
      <c r="G1038" t="s">
        <v>32</v>
      </c>
      <c r="H1038" s="1">
        <v>44767</v>
      </c>
      <c r="I1038" t="s">
        <v>1153</v>
      </c>
      <c r="J1038" t="s">
        <v>14</v>
      </c>
      <c r="K1038" t="s">
        <v>28</v>
      </c>
      <c r="L1038" s="3">
        <f>IF(Sales_Table[[#This Row],[Revenue]]=0,0,Sales_Table[[#This Row],[Revenue]]/Sales_Table[[#This Row],[Profit]])</f>
        <v>4.2905296950240768</v>
      </c>
    </row>
    <row r="1039" spans="1:12" x14ac:dyDescent="0.5">
      <c r="A1039" t="s">
        <v>1152</v>
      </c>
      <c r="B1039">
        <v>5346</v>
      </c>
      <c r="C1039">
        <v>1246</v>
      </c>
      <c r="D1039">
        <v>17</v>
      </c>
      <c r="E1039" t="s">
        <v>36</v>
      </c>
      <c r="F1039" t="s">
        <v>48</v>
      </c>
      <c r="G1039" t="s">
        <v>32</v>
      </c>
      <c r="H1039" s="1">
        <v>44688</v>
      </c>
      <c r="I1039" t="s">
        <v>1154</v>
      </c>
      <c r="J1039" t="s">
        <v>14</v>
      </c>
      <c r="K1039" t="s">
        <v>15</v>
      </c>
      <c r="L1039" s="3">
        <f>IF(Sales_Table[[#This Row],[Revenue]]=0,0,Sales_Table[[#This Row],[Revenue]]/Sales_Table[[#This Row],[Profit]])</f>
        <v>4.2905296950240768</v>
      </c>
    </row>
    <row r="1040" spans="1:12" x14ac:dyDescent="0.5">
      <c r="A1040" t="s">
        <v>1155</v>
      </c>
      <c r="B1040">
        <v>8422</v>
      </c>
      <c r="C1040">
        <v>893</v>
      </c>
      <c r="D1040">
        <v>18</v>
      </c>
      <c r="E1040" t="s">
        <v>10</v>
      </c>
      <c r="F1040" t="s">
        <v>22</v>
      </c>
      <c r="G1040" t="s">
        <v>26</v>
      </c>
      <c r="H1040" s="1">
        <v>44784</v>
      </c>
      <c r="I1040" t="s">
        <v>1156</v>
      </c>
      <c r="J1040" t="s">
        <v>34</v>
      </c>
      <c r="K1040" t="s">
        <v>75</v>
      </c>
      <c r="L1040" s="3">
        <f>IF(Sales_Table[[#This Row],[Revenue]]=0,0,Sales_Table[[#This Row],[Revenue]]/Sales_Table[[#This Row],[Profit]])</f>
        <v>9.4311310190369539</v>
      </c>
    </row>
    <row r="1041" spans="1:12" x14ac:dyDescent="0.5">
      <c r="A1041" t="s">
        <v>1155</v>
      </c>
      <c r="B1041">
        <v>8422</v>
      </c>
      <c r="C1041">
        <v>893</v>
      </c>
      <c r="D1041">
        <v>18</v>
      </c>
      <c r="E1041" t="s">
        <v>10</v>
      </c>
      <c r="F1041" t="s">
        <v>22</v>
      </c>
      <c r="G1041" t="s">
        <v>26</v>
      </c>
      <c r="H1041" s="1">
        <v>44785</v>
      </c>
      <c r="I1041" t="s">
        <v>1157</v>
      </c>
      <c r="J1041" t="s">
        <v>79</v>
      </c>
      <c r="K1041" t="s">
        <v>80</v>
      </c>
      <c r="L1041" s="3">
        <f>IF(Sales_Table[[#This Row],[Revenue]]=0,0,Sales_Table[[#This Row],[Revenue]]/Sales_Table[[#This Row],[Profit]])</f>
        <v>9.4311310190369539</v>
      </c>
    </row>
    <row r="1042" spans="1:12" x14ac:dyDescent="0.5">
      <c r="A1042" t="s">
        <v>1155</v>
      </c>
      <c r="B1042">
        <v>6105</v>
      </c>
      <c r="C1042">
        <v>1447</v>
      </c>
      <c r="D1042">
        <v>8</v>
      </c>
      <c r="E1042" t="s">
        <v>36</v>
      </c>
      <c r="F1042" t="s">
        <v>87</v>
      </c>
      <c r="G1042" t="s">
        <v>38</v>
      </c>
      <c r="H1042" s="1">
        <v>44784</v>
      </c>
      <c r="I1042" t="s">
        <v>1156</v>
      </c>
      <c r="J1042" t="s">
        <v>34</v>
      </c>
      <c r="K1042" t="s">
        <v>75</v>
      </c>
      <c r="L1042" s="3">
        <f>IF(Sales_Table[[#This Row],[Revenue]]=0,0,Sales_Table[[#This Row],[Revenue]]/Sales_Table[[#This Row],[Profit]])</f>
        <v>4.2190739460953699</v>
      </c>
    </row>
    <row r="1043" spans="1:12" x14ac:dyDescent="0.5">
      <c r="A1043" t="s">
        <v>1155</v>
      </c>
      <c r="B1043">
        <v>6105</v>
      </c>
      <c r="C1043">
        <v>1447</v>
      </c>
      <c r="D1043">
        <v>8</v>
      </c>
      <c r="E1043" t="s">
        <v>36</v>
      </c>
      <c r="F1043" t="s">
        <v>87</v>
      </c>
      <c r="G1043" t="s">
        <v>38</v>
      </c>
      <c r="H1043" s="1">
        <v>44785</v>
      </c>
      <c r="I1043" t="s">
        <v>1157</v>
      </c>
      <c r="J1043" t="s">
        <v>79</v>
      </c>
      <c r="K1043" t="s">
        <v>80</v>
      </c>
      <c r="L1043" s="3">
        <f>IF(Sales_Table[[#This Row],[Revenue]]=0,0,Sales_Table[[#This Row],[Revenue]]/Sales_Table[[#This Row],[Profit]])</f>
        <v>4.2190739460953699</v>
      </c>
    </row>
    <row r="1044" spans="1:12" x14ac:dyDescent="0.5">
      <c r="A1044" t="s">
        <v>1158</v>
      </c>
      <c r="B1044">
        <v>670</v>
      </c>
      <c r="C1044">
        <v>85</v>
      </c>
      <c r="D1044">
        <v>9</v>
      </c>
      <c r="E1044" t="s">
        <v>24</v>
      </c>
      <c r="F1044" t="s">
        <v>25</v>
      </c>
      <c r="G1044" t="s">
        <v>32</v>
      </c>
      <c r="H1044" s="1">
        <v>45159</v>
      </c>
      <c r="I1044" t="s">
        <v>1159</v>
      </c>
      <c r="J1044" t="s">
        <v>59</v>
      </c>
      <c r="K1044" t="s">
        <v>108</v>
      </c>
      <c r="L1044" s="3">
        <f>IF(Sales_Table[[#This Row],[Revenue]]=0,0,Sales_Table[[#This Row],[Revenue]]/Sales_Table[[#This Row],[Profit]])</f>
        <v>7.882352941176471</v>
      </c>
    </row>
    <row r="1045" spans="1:12" x14ac:dyDescent="0.5">
      <c r="A1045" t="s">
        <v>1160</v>
      </c>
      <c r="B1045">
        <v>4057</v>
      </c>
      <c r="C1045">
        <v>1012</v>
      </c>
      <c r="D1045">
        <v>6</v>
      </c>
      <c r="E1045" t="s">
        <v>10</v>
      </c>
      <c r="F1045" t="s">
        <v>31</v>
      </c>
      <c r="G1045" t="s">
        <v>38</v>
      </c>
      <c r="H1045" s="1">
        <v>44816</v>
      </c>
      <c r="I1045" t="s">
        <v>1161</v>
      </c>
      <c r="J1045" t="s">
        <v>34</v>
      </c>
      <c r="K1045" t="s">
        <v>62</v>
      </c>
      <c r="L1045" s="3">
        <f>IF(Sales_Table[[#This Row],[Revenue]]=0,0,Sales_Table[[#This Row],[Revenue]]/Sales_Table[[#This Row],[Profit]])</f>
        <v>4.0088932806324111</v>
      </c>
    </row>
    <row r="1046" spans="1:12" x14ac:dyDescent="0.5">
      <c r="A1046" t="s">
        <v>1162</v>
      </c>
      <c r="B1046">
        <v>8178</v>
      </c>
      <c r="C1046">
        <v>2462</v>
      </c>
      <c r="D1046">
        <v>10</v>
      </c>
      <c r="E1046" t="s">
        <v>24</v>
      </c>
      <c r="F1046" t="s">
        <v>25</v>
      </c>
      <c r="G1046" t="s">
        <v>12</v>
      </c>
      <c r="H1046" s="1">
        <v>45158</v>
      </c>
      <c r="I1046" t="s">
        <v>1163</v>
      </c>
      <c r="J1046" t="s">
        <v>34</v>
      </c>
      <c r="K1046" t="s">
        <v>35</v>
      </c>
      <c r="L1046" s="3">
        <f>IF(Sales_Table[[#This Row],[Revenue]]=0,0,Sales_Table[[#This Row],[Revenue]]/Sales_Table[[#This Row],[Profit]])</f>
        <v>3.3216896831844029</v>
      </c>
    </row>
    <row r="1047" spans="1:12" x14ac:dyDescent="0.5">
      <c r="A1047" t="s">
        <v>1164</v>
      </c>
      <c r="B1047">
        <v>8752</v>
      </c>
      <c r="C1047">
        <v>1686</v>
      </c>
      <c r="D1047">
        <v>9</v>
      </c>
      <c r="E1047" t="s">
        <v>36</v>
      </c>
      <c r="F1047" t="s">
        <v>37</v>
      </c>
      <c r="G1047" t="s">
        <v>26</v>
      </c>
      <c r="H1047" s="1">
        <v>44192</v>
      </c>
      <c r="I1047" t="s">
        <v>1165</v>
      </c>
      <c r="J1047" t="s">
        <v>79</v>
      </c>
      <c r="K1047" t="s">
        <v>86</v>
      </c>
      <c r="L1047" s="3">
        <f>IF(Sales_Table[[#This Row],[Revenue]]=0,0,Sales_Table[[#This Row],[Revenue]]/Sales_Table[[#This Row],[Profit]])</f>
        <v>5.1909845788849349</v>
      </c>
    </row>
    <row r="1048" spans="1:12" x14ac:dyDescent="0.5">
      <c r="A1048" t="s">
        <v>1164</v>
      </c>
      <c r="B1048">
        <v>8752</v>
      </c>
      <c r="C1048">
        <v>1686</v>
      </c>
      <c r="D1048">
        <v>9</v>
      </c>
      <c r="E1048" t="s">
        <v>36</v>
      </c>
      <c r="F1048" t="s">
        <v>37</v>
      </c>
      <c r="G1048" t="s">
        <v>26</v>
      </c>
      <c r="H1048" s="1">
        <v>45173</v>
      </c>
      <c r="I1048" t="s">
        <v>1166</v>
      </c>
      <c r="J1048" t="s">
        <v>17</v>
      </c>
      <c r="K1048" t="s">
        <v>134</v>
      </c>
      <c r="L1048" s="3">
        <f>IF(Sales_Table[[#This Row],[Revenue]]=0,0,Sales_Table[[#This Row],[Revenue]]/Sales_Table[[#This Row],[Profit]])</f>
        <v>5.1909845788849349</v>
      </c>
    </row>
    <row r="1049" spans="1:12" x14ac:dyDescent="0.5">
      <c r="A1049" t="s">
        <v>1164</v>
      </c>
      <c r="B1049">
        <v>8752</v>
      </c>
      <c r="C1049">
        <v>1686</v>
      </c>
      <c r="D1049">
        <v>9</v>
      </c>
      <c r="E1049" t="s">
        <v>36</v>
      </c>
      <c r="F1049" t="s">
        <v>37</v>
      </c>
      <c r="G1049" t="s">
        <v>26</v>
      </c>
      <c r="H1049" s="1">
        <v>44569</v>
      </c>
      <c r="I1049" t="s">
        <v>1167</v>
      </c>
      <c r="J1049" t="s">
        <v>17</v>
      </c>
      <c r="K1049" t="s">
        <v>18</v>
      </c>
      <c r="L1049" s="3">
        <f>IF(Sales_Table[[#This Row],[Revenue]]=0,0,Sales_Table[[#This Row],[Revenue]]/Sales_Table[[#This Row],[Profit]])</f>
        <v>5.1909845788849349</v>
      </c>
    </row>
    <row r="1050" spans="1:12" x14ac:dyDescent="0.5">
      <c r="A1050" t="s">
        <v>1168</v>
      </c>
      <c r="B1050">
        <v>8974</v>
      </c>
      <c r="C1050">
        <v>4441</v>
      </c>
      <c r="D1050">
        <v>16</v>
      </c>
      <c r="E1050" t="s">
        <v>10</v>
      </c>
      <c r="F1050" t="s">
        <v>22</v>
      </c>
      <c r="G1050" t="s">
        <v>32</v>
      </c>
      <c r="H1050" s="1">
        <v>45082</v>
      </c>
      <c r="I1050" t="s">
        <v>1169</v>
      </c>
      <c r="J1050" t="s">
        <v>20</v>
      </c>
      <c r="K1050" t="s">
        <v>42</v>
      </c>
      <c r="L1050" s="3">
        <f>IF(Sales_Table[[#This Row],[Revenue]]=0,0,Sales_Table[[#This Row],[Revenue]]/Sales_Table[[#This Row],[Profit]])</f>
        <v>2.0207160549425804</v>
      </c>
    </row>
    <row r="1051" spans="1:12" x14ac:dyDescent="0.5">
      <c r="A1051" t="s">
        <v>1170</v>
      </c>
      <c r="B1051">
        <v>9090</v>
      </c>
      <c r="C1051">
        <v>3098</v>
      </c>
      <c r="D1051">
        <v>16</v>
      </c>
      <c r="E1051" t="s">
        <v>10</v>
      </c>
      <c r="F1051" t="s">
        <v>67</v>
      </c>
      <c r="G1051" t="s">
        <v>38</v>
      </c>
      <c r="H1051" s="1">
        <v>44287</v>
      </c>
      <c r="I1051" t="s">
        <v>1171</v>
      </c>
      <c r="J1051" t="s">
        <v>59</v>
      </c>
      <c r="K1051" t="s">
        <v>60</v>
      </c>
      <c r="L1051" s="3">
        <f>IF(Sales_Table[[#This Row],[Revenue]]=0,0,Sales_Table[[#This Row],[Revenue]]/Sales_Table[[#This Row],[Profit]])</f>
        <v>2.9341510652033569</v>
      </c>
    </row>
    <row r="1052" spans="1:12" x14ac:dyDescent="0.5">
      <c r="A1052" t="s">
        <v>1170</v>
      </c>
      <c r="B1052">
        <v>9090</v>
      </c>
      <c r="C1052">
        <v>3098</v>
      </c>
      <c r="D1052">
        <v>16</v>
      </c>
      <c r="E1052" t="s">
        <v>10</v>
      </c>
      <c r="F1052" t="s">
        <v>67</v>
      </c>
      <c r="G1052" t="s">
        <v>38</v>
      </c>
      <c r="H1052" s="1">
        <v>45440</v>
      </c>
      <c r="I1052" t="s">
        <v>1172</v>
      </c>
      <c r="J1052" t="s">
        <v>17</v>
      </c>
      <c r="K1052" t="s">
        <v>51</v>
      </c>
      <c r="L1052" s="3">
        <f>IF(Sales_Table[[#This Row],[Revenue]]=0,0,Sales_Table[[#This Row],[Revenue]]/Sales_Table[[#This Row],[Profit]])</f>
        <v>2.9341510652033569</v>
      </c>
    </row>
    <row r="1053" spans="1:12" x14ac:dyDescent="0.5">
      <c r="A1053" t="s">
        <v>1170</v>
      </c>
      <c r="B1053">
        <v>851</v>
      </c>
      <c r="C1053">
        <v>356</v>
      </c>
      <c r="D1053">
        <v>11</v>
      </c>
      <c r="E1053" t="s">
        <v>10</v>
      </c>
      <c r="F1053" t="s">
        <v>11</v>
      </c>
      <c r="G1053" t="s">
        <v>38</v>
      </c>
      <c r="H1053" s="1">
        <v>44287</v>
      </c>
      <c r="I1053" t="s">
        <v>1171</v>
      </c>
      <c r="J1053" t="s">
        <v>59</v>
      </c>
      <c r="K1053" t="s">
        <v>60</v>
      </c>
      <c r="L1053" s="3">
        <f>IF(Sales_Table[[#This Row],[Revenue]]=0,0,Sales_Table[[#This Row],[Revenue]]/Sales_Table[[#This Row],[Profit]])</f>
        <v>2.3904494382022472</v>
      </c>
    </row>
    <row r="1054" spans="1:12" x14ac:dyDescent="0.5">
      <c r="A1054" t="s">
        <v>1170</v>
      </c>
      <c r="B1054">
        <v>851</v>
      </c>
      <c r="C1054">
        <v>356</v>
      </c>
      <c r="D1054">
        <v>11</v>
      </c>
      <c r="E1054" t="s">
        <v>10</v>
      </c>
      <c r="F1054" t="s">
        <v>11</v>
      </c>
      <c r="G1054" t="s">
        <v>38</v>
      </c>
      <c r="H1054" s="1">
        <v>45440</v>
      </c>
      <c r="I1054" t="s">
        <v>1172</v>
      </c>
      <c r="J1054" t="s">
        <v>17</v>
      </c>
      <c r="K1054" t="s">
        <v>51</v>
      </c>
      <c r="L1054" s="3">
        <f>IF(Sales_Table[[#This Row],[Revenue]]=0,0,Sales_Table[[#This Row],[Revenue]]/Sales_Table[[#This Row],[Profit]])</f>
        <v>2.3904494382022472</v>
      </c>
    </row>
    <row r="1055" spans="1:12" x14ac:dyDescent="0.5">
      <c r="A1055" t="s">
        <v>1173</v>
      </c>
      <c r="B1055">
        <v>5427</v>
      </c>
      <c r="C1055">
        <v>728</v>
      </c>
      <c r="D1055">
        <v>3</v>
      </c>
      <c r="E1055" t="s">
        <v>10</v>
      </c>
      <c r="F1055" t="s">
        <v>67</v>
      </c>
      <c r="G1055" t="s">
        <v>12</v>
      </c>
      <c r="H1055" s="1">
        <v>44994</v>
      </c>
      <c r="I1055" t="s">
        <v>1174</v>
      </c>
      <c r="J1055" t="s">
        <v>14</v>
      </c>
      <c r="K1055" t="s">
        <v>15</v>
      </c>
      <c r="L1055" s="3">
        <f>IF(Sales_Table[[#This Row],[Revenue]]=0,0,Sales_Table[[#This Row],[Revenue]]/Sales_Table[[#This Row],[Profit]])</f>
        <v>7.4546703296703294</v>
      </c>
    </row>
    <row r="1056" spans="1:12" x14ac:dyDescent="0.5">
      <c r="A1056" t="s">
        <v>1175</v>
      </c>
      <c r="B1056">
        <v>2695</v>
      </c>
      <c r="C1056">
        <v>914</v>
      </c>
      <c r="D1056">
        <v>15</v>
      </c>
      <c r="E1056" t="s">
        <v>36</v>
      </c>
      <c r="F1056" t="s">
        <v>87</v>
      </c>
      <c r="G1056" t="s">
        <v>26</v>
      </c>
      <c r="H1056" s="1">
        <v>44770</v>
      </c>
      <c r="I1056" t="s">
        <v>1176</v>
      </c>
      <c r="J1056" t="s">
        <v>17</v>
      </c>
      <c r="K1056" t="s">
        <v>134</v>
      </c>
      <c r="L1056" s="3">
        <f>IF(Sales_Table[[#This Row],[Revenue]]=0,0,Sales_Table[[#This Row],[Revenue]]/Sales_Table[[#This Row],[Profit]])</f>
        <v>2.948577680525164</v>
      </c>
    </row>
    <row r="1057" spans="1:12" x14ac:dyDescent="0.5">
      <c r="A1057" t="s">
        <v>1175</v>
      </c>
      <c r="B1057">
        <v>2695</v>
      </c>
      <c r="C1057">
        <v>914</v>
      </c>
      <c r="D1057">
        <v>15</v>
      </c>
      <c r="E1057" t="s">
        <v>36</v>
      </c>
      <c r="F1057" t="s">
        <v>87</v>
      </c>
      <c r="G1057" t="s">
        <v>26</v>
      </c>
      <c r="H1057" s="1">
        <v>44364</v>
      </c>
      <c r="I1057" t="s">
        <v>1177</v>
      </c>
      <c r="J1057" t="s">
        <v>34</v>
      </c>
      <c r="K1057" t="s">
        <v>35</v>
      </c>
      <c r="L1057" s="3">
        <f>IF(Sales_Table[[#This Row],[Revenue]]=0,0,Sales_Table[[#This Row],[Revenue]]/Sales_Table[[#This Row],[Profit]])</f>
        <v>2.948577680525164</v>
      </c>
    </row>
    <row r="1058" spans="1:12" x14ac:dyDescent="0.5">
      <c r="A1058" t="s">
        <v>1178</v>
      </c>
      <c r="B1058">
        <v>2386</v>
      </c>
      <c r="C1058">
        <v>999</v>
      </c>
      <c r="D1058">
        <v>3</v>
      </c>
      <c r="E1058" t="s">
        <v>24</v>
      </c>
      <c r="F1058" t="s">
        <v>25</v>
      </c>
      <c r="G1058" t="s">
        <v>53</v>
      </c>
      <c r="H1058" s="1">
        <v>45335</v>
      </c>
      <c r="I1058" t="s">
        <v>1179</v>
      </c>
      <c r="J1058" t="s">
        <v>14</v>
      </c>
      <c r="K1058" t="s">
        <v>15</v>
      </c>
      <c r="L1058" s="3">
        <f>IF(Sales_Table[[#This Row],[Revenue]]=0,0,Sales_Table[[#This Row],[Revenue]]/Sales_Table[[#This Row],[Profit]])</f>
        <v>2.3883883883883885</v>
      </c>
    </row>
    <row r="1059" spans="1:12" x14ac:dyDescent="0.5">
      <c r="A1059" t="s">
        <v>1180</v>
      </c>
      <c r="B1059">
        <v>2284</v>
      </c>
      <c r="C1059">
        <v>149</v>
      </c>
      <c r="D1059">
        <v>20</v>
      </c>
      <c r="E1059" t="s">
        <v>24</v>
      </c>
      <c r="F1059" t="s">
        <v>25</v>
      </c>
      <c r="G1059" t="s">
        <v>26</v>
      </c>
      <c r="H1059" s="1">
        <v>44414</v>
      </c>
      <c r="I1059" t="s">
        <v>1181</v>
      </c>
      <c r="J1059" t="s">
        <v>20</v>
      </c>
      <c r="K1059" t="s">
        <v>56</v>
      </c>
      <c r="L1059" s="3">
        <f>IF(Sales_Table[[#This Row],[Revenue]]=0,0,Sales_Table[[#This Row],[Revenue]]/Sales_Table[[#This Row],[Profit]])</f>
        <v>15.328859060402685</v>
      </c>
    </row>
    <row r="1060" spans="1:12" x14ac:dyDescent="0.5">
      <c r="A1060" t="s">
        <v>1182</v>
      </c>
      <c r="B1060">
        <v>6034</v>
      </c>
      <c r="C1060">
        <v>608</v>
      </c>
      <c r="D1060">
        <v>8</v>
      </c>
      <c r="E1060" t="s">
        <v>10</v>
      </c>
      <c r="F1060" t="s">
        <v>67</v>
      </c>
      <c r="G1060" t="s">
        <v>32</v>
      </c>
      <c r="H1060" s="1">
        <v>44682</v>
      </c>
      <c r="I1060" t="s">
        <v>1183</v>
      </c>
      <c r="J1060" t="s">
        <v>59</v>
      </c>
      <c r="K1060" t="s">
        <v>108</v>
      </c>
      <c r="L1060" s="3">
        <f>IF(Sales_Table[[#This Row],[Revenue]]=0,0,Sales_Table[[#This Row],[Revenue]]/Sales_Table[[#This Row],[Profit]])</f>
        <v>9.9243421052631575</v>
      </c>
    </row>
    <row r="1061" spans="1:12" x14ac:dyDescent="0.5">
      <c r="A1061" t="s">
        <v>1182</v>
      </c>
      <c r="B1061">
        <v>8956</v>
      </c>
      <c r="C1061">
        <v>3359</v>
      </c>
      <c r="D1061">
        <v>13</v>
      </c>
      <c r="E1061" t="s">
        <v>36</v>
      </c>
      <c r="F1061" t="s">
        <v>87</v>
      </c>
      <c r="G1061" t="s">
        <v>38</v>
      </c>
      <c r="H1061" s="1">
        <v>44682</v>
      </c>
      <c r="I1061" t="s">
        <v>1183</v>
      </c>
      <c r="J1061" t="s">
        <v>59</v>
      </c>
      <c r="K1061" t="s">
        <v>108</v>
      </c>
      <c r="L1061" s="3">
        <f>IF(Sales_Table[[#This Row],[Revenue]]=0,0,Sales_Table[[#This Row],[Revenue]]/Sales_Table[[#This Row],[Profit]])</f>
        <v>2.6662697231318844</v>
      </c>
    </row>
    <row r="1062" spans="1:12" x14ac:dyDescent="0.5">
      <c r="A1062" t="s">
        <v>1184</v>
      </c>
      <c r="B1062">
        <v>7122</v>
      </c>
      <c r="C1062">
        <v>1982</v>
      </c>
      <c r="D1062">
        <v>7</v>
      </c>
      <c r="E1062" t="s">
        <v>24</v>
      </c>
      <c r="F1062" t="s">
        <v>46</v>
      </c>
      <c r="G1062" t="s">
        <v>32</v>
      </c>
      <c r="H1062" s="1">
        <v>45362</v>
      </c>
      <c r="I1062" t="s">
        <v>1185</v>
      </c>
      <c r="J1062" t="s">
        <v>17</v>
      </c>
      <c r="K1062" t="s">
        <v>134</v>
      </c>
      <c r="L1062" s="3">
        <f>IF(Sales_Table[[#This Row],[Revenue]]=0,0,Sales_Table[[#This Row],[Revenue]]/Sales_Table[[#This Row],[Profit]])</f>
        <v>3.5933400605449042</v>
      </c>
    </row>
    <row r="1063" spans="1:12" x14ac:dyDescent="0.5">
      <c r="A1063" t="s">
        <v>1186</v>
      </c>
      <c r="B1063">
        <v>9775</v>
      </c>
      <c r="C1063">
        <v>4507</v>
      </c>
      <c r="D1063">
        <v>5</v>
      </c>
      <c r="E1063" t="s">
        <v>24</v>
      </c>
      <c r="F1063" t="s">
        <v>46</v>
      </c>
      <c r="G1063" t="s">
        <v>12</v>
      </c>
      <c r="H1063" s="1">
        <v>44018</v>
      </c>
      <c r="I1063" t="s">
        <v>1187</v>
      </c>
      <c r="J1063" t="s">
        <v>79</v>
      </c>
      <c r="K1063" t="s">
        <v>86</v>
      </c>
      <c r="L1063" s="3">
        <f>IF(Sales_Table[[#This Row],[Revenue]]=0,0,Sales_Table[[#This Row],[Revenue]]/Sales_Table[[#This Row],[Profit]])</f>
        <v>2.1688484579542933</v>
      </c>
    </row>
    <row r="1064" spans="1:12" x14ac:dyDescent="0.5">
      <c r="A1064" t="s">
        <v>1188</v>
      </c>
      <c r="B1064">
        <v>3309</v>
      </c>
      <c r="C1064">
        <v>177</v>
      </c>
      <c r="D1064">
        <v>13</v>
      </c>
      <c r="E1064" t="s">
        <v>36</v>
      </c>
      <c r="F1064" t="s">
        <v>87</v>
      </c>
      <c r="G1064" t="s">
        <v>32</v>
      </c>
      <c r="H1064" s="1">
        <v>44182</v>
      </c>
      <c r="I1064" t="s">
        <v>1189</v>
      </c>
      <c r="J1064" t="s">
        <v>79</v>
      </c>
      <c r="K1064" t="s">
        <v>94</v>
      </c>
      <c r="L1064" s="3">
        <f>IF(Sales_Table[[#This Row],[Revenue]]=0,0,Sales_Table[[#This Row],[Revenue]]/Sales_Table[[#This Row],[Profit]])</f>
        <v>18.694915254237287</v>
      </c>
    </row>
    <row r="1065" spans="1:12" x14ac:dyDescent="0.5">
      <c r="A1065" t="s">
        <v>1190</v>
      </c>
      <c r="B1065">
        <v>4163</v>
      </c>
      <c r="C1065">
        <v>897</v>
      </c>
      <c r="D1065">
        <v>14</v>
      </c>
      <c r="E1065" t="s">
        <v>10</v>
      </c>
      <c r="F1065" t="s">
        <v>11</v>
      </c>
      <c r="G1065" t="s">
        <v>53</v>
      </c>
      <c r="H1065" s="1">
        <v>44803</v>
      </c>
      <c r="I1065" t="s">
        <v>1191</v>
      </c>
      <c r="J1065" t="s">
        <v>17</v>
      </c>
      <c r="K1065" t="s">
        <v>51</v>
      </c>
      <c r="L1065" s="3">
        <f>IF(Sales_Table[[#This Row],[Revenue]]=0,0,Sales_Table[[#This Row],[Revenue]]/Sales_Table[[#This Row],[Profit]])</f>
        <v>4.6410256410256414</v>
      </c>
    </row>
    <row r="1066" spans="1:12" x14ac:dyDescent="0.5">
      <c r="A1066" t="s">
        <v>1190</v>
      </c>
      <c r="B1066">
        <v>4163</v>
      </c>
      <c r="C1066">
        <v>897</v>
      </c>
      <c r="D1066">
        <v>14</v>
      </c>
      <c r="E1066" t="s">
        <v>10</v>
      </c>
      <c r="F1066" t="s">
        <v>11</v>
      </c>
      <c r="G1066" t="s">
        <v>53</v>
      </c>
      <c r="H1066" s="1">
        <v>45715</v>
      </c>
      <c r="I1066" t="s">
        <v>1192</v>
      </c>
      <c r="J1066" t="s">
        <v>79</v>
      </c>
      <c r="K1066" t="s">
        <v>94</v>
      </c>
      <c r="L1066" s="3">
        <f>IF(Sales_Table[[#This Row],[Revenue]]=0,0,Sales_Table[[#This Row],[Revenue]]/Sales_Table[[#This Row],[Profit]])</f>
        <v>4.6410256410256414</v>
      </c>
    </row>
    <row r="1067" spans="1:12" x14ac:dyDescent="0.5">
      <c r="A1067" t="s">
        <v>1190</v>
      </c>
      <c r="B1067">
        <v>4163</v>
      </c>
      <c r="C1067">
        <v>897</v>
      </c>
      <c r="D1067">
        <v>14</v>
      </c>
      <c r="E1067" t="s">
        <v>10</v>
      </c>
      <c r="F1067" t="s">
        <v>11</v>
      </c>
      <c r="G1067" t="s">
        <v>53</v>
      </c>
      <c r="H1067" s="1">
        <v>44352</v>
      </c>
      <c r="I1067" t="s">
        <v>1193</v>
      </c>
      <c r="J1067" t="s">
        <v>14</v>
      </c>
      <c r="K1067" t="s">
        <v>28</v>
      </c>
      <c r="L1067" s="3">
        <f>IF(Sales_Table[[#This Row],[Revenue]]=0,0,Sales_Table[[#This Row],[Revenue]]/Sales_Table[[#This Row],[Profit]])</f>
        <v>4.6410256410256414</v>
      </c>
    </row>
    <row r="1068" spans="1:12" x14ac:dyDescent="0.5">
      <c r="A1068" t="s">
        <v>1194</v>
      </c>
      <c r="B1068">
        <v>5518</v>
      </c>
      <c r="C1068">
        <v>867</v>
      </c>
      <c r="D1068">
        <v>7</v>
      </c>
      <c r="E1068" t="s">
        <v>36</v>
      </c>
      <c r="F1068" t="s">
        <v>48</v>
      </c>
      <c r="G1068" t="s">
        <v>12</v>
      </c>
      <c r="H1068" s="1">
        <v>44917</v>
      </c>
      <c r="I1068" t="s">
        <v>1195</v>
      </c>
      <c r="J1068" t="s">
        <v>59</v>
      </c>
      <c r="K1068" t="s">
        <v>108</v>
      </c>
      <c r="L1068" s="3">
        <f>IF(Sales_Table[[#This Row],[Revenue]]=0,0,Sales_Table[[#This Row],[Revenue]]/Sales_Table[[#This Row],[Profit]])</f>
        <v>6.364475201845444</v>
      </c>
    </row>
    <row r="1069" spans="1:12" x14ac:dyDescent="0.5">
      <c r="A1069" t="s">
        <v>1196</v>
      </c>
      <c r="B1069">
        <v>7566</v>
      </c>
      <c r="C1069">
        <v>606</v>
      </c>
      <c r="D1069">
        <v>6</v>
      </c>
      <c r="E1069" t="s">
        <v>10</v>
      </c>
      <c r="F1069" t="s">
        <v>67</v>
      </c>
      <c r="G1069" t="s">
        <v>26</v>
      </c>
      <c r="H1069" s="1">
        <v>45682</v>
      </c>
      <c r="I1069" t="s">
        <v>1197</v>
      </c>
      <c r="J1069" t="s">
        <v>79</v>
      </c>
      <c r="K1069" t="s">
        <v>80</v>
      </c>
      <c r="L1069" s="3">
        <f>IF(Sales_Table[[#This Row],[Revenue]]=0,0,Sales_Table[[#This Row],[Revenue]]/Sales_Table[[#This Row],[Profit]])</f>
        <v>12.485148514851485</v>
      </c>
    </row>
    <row r="1070" spans="1:12" x14ac:dyDescent="0.5">
      <c r="A1070" t="s">
        <v>1196</v>
      </c>
      <c r="B1070">
        <v>7566</v>
      </c>
      <c r="C1070">
        <v>606</v>
      </c>
      <c r="D1070">
        <v>6</v>
      </c>
      <c r="E1070" t="s">
        <v>10</v>
      </c>
      <c r="F1070" t="s">
        <v>67</v>
      </c>
      <c r="G1070" t="s">
        <v>26</v>
      </c>
      <c r="H1070" s="1">
        <v>45702</v>
      </c>
      <c r="I1070" t="s">
        <v>1198</v>
      </c>
      <c r="J1070" t="s">
        <v>34</v>
      </c>
      <c r="K1070" t="s">
        <v>62</v>
      </c>
      <c r="L1070" s="3">
        <f>IF(Sales_Table[[#This Row],[Revenue]]=0,0,Sales_Table[[#This Row],[Revenue]]/Sales_Table[[#This Row],[Profit]])</f>
        <v>12.485148514851485</v>
      </c>
    </row>
    <row r="1071" spans="1:12" x14ac:dyDescent="0.5">
      <c r="A1071" t="s">
        <v>1199</v>
      </c>
      <c r="B1071">
        <v>762</v>
      </c>
      <c r="C1071">
        <v>92</v>
      </c>
      <c r="D1071">
        <v>11</v>
      </c>
      <c r="E1071" t="s">
        <v>10</v>
      </c>
      <c r="F1071" t="s">
        <v>22</v>
      </c>
      <c r="G1071" t="s">
        <v>53</v>
      </c>
      <c r="H1071" s="1">
        <v>44932</v>
      </c>
      <c r="I1071" t="s">
        <v>1200</v>
      </c>
      <c r="J1071" t="s">
        <v>17</v>
      </c>
      <c r="K1071" t="s">
        <v>51</v>
      </c>
      <c r="L1071" s="3">
        <f>IF(Sales_Table[[#This Row],[Revenue]]=0,0,Sales_Table[[#This Row],[Revenue]]/Sales_Table[[#This Row],[Profit]])</f>
        <v>8.2826086956521738</v>
      </c>
    </row>
    <row r="1072" spans="1:12" x14ac:dyDescent="0.5">
      <c r="A1072" t="s">
        <v>1201</v>
      </c>
      <c r="B1072">
        <v>3316</v>
      </c>
      <c r="C1072">
        <v>126</v>
      </c>
      <c r="D1072">
        <v>6</v>
      </c>
      <c r="E1072" t="s">
        <v>10</v>
      </c>
      <c r="F1072" t="s">
        <v>31</v>
      </c>
      <c r="G1072" t="s">
        <v>53</v>
      </c>
      <c r="H1072" s="1">
        <v>44115</v>
      </c>
      <c r="I1072" t="s">
        <v>1202</v>
      </c>
      <c r="J1072" t="s">
        <v>79</v>
      </c>
      <c r="K1072" t="s">
        <v>86</v>
      </c>
      <c r="L1072" s="3">
        <f>IF(Sales_Table[[#This Row],[Revenue]]=0,0,Sales_Table[[#This Row],[Revenue]]/Sales_Table[[#This Row],[Profit]])</f>
        <v>26.317460317460316</v>
      </c>
    </row>
    <row r="1073" spans="1:12" x14ac:dyDescent="0.5">
      <c r="A1073" t="s">
        <v>1203</v>
      </c>
      <c r="B1073">
        <v>5994</v>
      </c>
      <c r="C1073">
        <v>2826</v>
      </c>
      <c r="D1073">
        <v>9</v>
      </c>
      <c r="E1073" t="s">
        <v>36</v>
      </c>
      <c r="F1073" t="s">
        <v>87</v>
      </c>
      <c r="G1073" t="s">
        <v>32</v>
      </c>
      <c r="H1073" s="1">
        <v>45070</v>
      </c>
      <c r="I1073" t="s">
        <v>1204</v>
      </c>
      <c r="J1073" t="s">
        <v>34</v>
      </c>
      <c r="K1073" t="s">
        <v>75</v>
      </c>
      <c r="L1073" s="3">
        <f>IF(Sales_Table[[#This Row],[Revenue]]=0,0,Sales_Table[[#This Row],[Revenue]]/Sales_Table[[#This Row],[Profit]])</f>
        <v>2.121019108280255</v>
      </c>
    </row>
    <row r="1074" spans="1:12" x14ac:dyDescent="0.5">
      <c r="A1074" t="s">
        <v>1203</v>
      </c>
      <c r="B1074">
        <v>5994</v>
      </c>
      <c r="C1074">
        <v>2826</v>
      </c>
      <c r="D1074">
        <v>9</v>
      </c>
      <c r="E1074" t="s">
        <v>36</v>
      </c>
      <c r="F1074" t="s">
        <v>87</v>
      </c>
      <c r="G1074" t="s">
        <v>32</v>
      </c>
      <c r="H1074" s="1">
        <v>45363</v>
      </c>
      <c r="I1074" t="s">
        <v>1205</v>
      </c>
      <c r="J1074" t="s">
        <v>34</v>
      </c>
      <c r="K1074" t="s">
        <v>35</v>
      </c>
      <c r="L1074" s="3">
        <f>IF(Sales_Table[[#This Row],[Revenue]]=0,0,Sales_Table[[#This Row],[Revenue]]/Sales_Table[[#This Row],[Profit]])</f>
        <v>2.121019108280255</v>
      </c>
    </row>
    <row r="1075" spans="1:12" x14ac:dyDescent="0.5">
      <c r="A1075" t="s">
        <v>1203</v>
      </c>
      <c r="B1075">
        <v>5994</v>
      </c>
      <c r="C1075">
        <v>2826</v>
      </c>
      <c r="D1075">
        <v>9</v>
      </c>
      <c r="E1075" t="s">
        <v>36</v>
      </c>
      <c r="F1075" t="s">
        <v>87</v>
      </c>
      <c r="G1075" t="s">
        <v>32</v>
      </c>
      <c r="H1075" s="1">
        <v>45368</v>
      </c>
      <c r="I1075" t="s">
        <v>1206</v>
      </c>
      <c r="J1075" t="s">
        <v>20</v>
      </c>
      <c r="K1075" t="s">
        <v>42</v>
      </c>
      <c r="L1075" s="3">
        <f>IF(Sales_Table[[#This Row],[Revenue]]=0,0,Sales_Table[[#This Row],[Revenue]]/Sales_Table[[#This Row],[Profit]])</f>
        <v>2.121019108280255</v>
      </c>
    </row>
    <row r="1076" spans="1:12" x14ac:dyDescent="0.5">
      <c r="A1076" t="s">
        <v>1207</v>
      </c>
      <c r="B1076">
        <v>3854</v>
      </c>
      <c r="C1076">
        <v>245</v>
      </c>
      <c r="D1076">
        <v>19</v>
      </c>
      <c r="E1076" t="s">
        <v>10</v>
      </c>
      <c r="F1076" t="s">
        <v>31</v>
      </c>
      <c r="G1076" t="s">
        <v>53</v>
      </c>
      <c r="H1076" s="1">
        <v>44698</v>
      </c>
      <c r="I1076" t="s">
        <v>1208</v>
      </c>
      <c r="J1076" t="s">
        <v>79</v>
      </c>
      <c r="K1076" t="s">
        <v>80</v>
      </c>
      <c r="L1076" s="3">
        <f>IF(Sales_Table[[#This Row],[Revenue]]=0,0,Sales_Table[[#This Row],[Revenue]]/Sales_Table[[#This Row],[Profit]])</f>
        <v>15.730612244897959</v>
      </c>
    </row>
    <row r="1077" spans="1:12" x14ac:dyDescent="0.5">
      <c r="A1077" t="s">
        <v>1209</v>
      </c>
      <c r="B1077">
        <v>7019</v>
      </c>
      <c r="C1077">
        <v>2677</v>
      </c>
      <c r="D1077">
        <v>15</v>
      </c>
      <c r="E1077" t="s">
        <v>24</v>
      </c>
      <c r="F1077" t="s">
        <v>46</v>
      </c>
      <c r="G1077" t="s">
        <v>12</v>
      </c>
      <c r="H1077" s="1">
        <v>44186</v>
      </c>
      <c r="I1077" t="s">
        <v>1210</v>
      </c>
      <c r="J1077" t="s">
        <v>14</v>
      </c>
      <c r="K1077" t="s">
        <v>15</v>
      </c>
      <c r="L1077" s="3">
        <f>IF(Sales_Table[[#This Row],[Revenue]]=0,0,Sales_Table[[#This Row],[Revenue]]/Sales_Table[[#This Row],[Profit]])</f>
        <v>2.6219648860664924</v>
      </c>
    </row>
    <row r="1078" spans="1:12" x14ac:dyDescent="0.5">
      <c r="A1078" t="s">
        <v>1211</v>
      </c>
      <c r="B1078">
        <v>5954</v>
      </c>
      <c r="C1078">
        <v>2640</v>
      </c>
      <c r="D1078">
        <v>14</v>
      </c>
      <c r="E1078" t="s">
        <v>10</v>
      </c>
      <c r="F1078" t="s">
        <v>31</v>
      </c>
      <c r="G1078" t="s">
        <v>38</v>
      </c>
      <c r="H1078" s="1">
        <v>44432</v>
      </c>
      <c r="I1078" t="s">
        <v>1212</v>
      </c>
      <c r="J1078" t="s">
        <v>20</v>
      </c>
      <c r="K1078" t="s">
        <v>42</v>
      </c>
      <c r="L1078" s="3">
        <f>IF(Sales_Table[[#This Row],[Revenue]]=0,0,Sales_Table[[#This Row],[Revenue]]/Sales_Table[[#This Row],[Profit]])</f>
        <v>2.2553030303030304</v>
      </c>
    </row>
    <row r="1079" spans="1:12" x14ac:dyDescent="0.5">
      <c r="A1079" t="s">
        <v>1211</v>
      </c>
      <c r="B1079">
        <v>5954</v>
      </c>
      <c r="C1079">
        <v>2640</v>
      </c>
      <c r="D1079">
        <v>14</v>
      </c>
      <c r="E1079" t="s">
        <v>10</v>
      </c>
      <c r="F1079" t="s">
        <v>31</v>
      </c>
      <c r="G1079" t="s">
        <v>38</v>
      </c>
      <c r="H1079" s="1">
        <v>44856</v>
      </c>
      <c r="I1079" t="s">
        <v>1213</v>
      </c>
      <c r="J1079" t="s">
        <v>59</v>
      </c>
      <c r="K1079" t="s">
        <v>60</v>
      </c>
      <c r="L1079" s="3">
        <f>IF(Sales_Table[[#This Row],[Revenue]]=0,0,Sales_Table[[#This Row],[Revenue]]/Sales_Table[[#This Row],[Profit]])</f>
        <v>2.2553030303030304</v>
      </c>
    </row>
    <row r="1080" spans="1:12" x14ac:dyDescent="0.5">
      <c r="A1080" t="s">
        <v>1214</v>
      </c>
      <c r="B1080">
        <v>9752</v>
      </c>
      <c r="C1080">
        <v>3618</v>
      </c>
      <c r="D1080">
        <v>5</v>
      </c>
      <c r="E1080" t="s">
        <v>36</v>
      </c>
      <c r="F1080" t="s">
        <v>87</v>
      </c>
      <c r="G1080" t="s">
        <v>26</v>
      </c>
      <c r="H1080" s="1">
        <v>45343</v>
      </c>
      <c r="I1080" t="s">
        <v>1215</v>
      </c>
      <c r="J1080" t="s">
        <v>20</v>
      </c>
      <c r="K1080" t="s">
        <v>56</v>
      </c>
      <c r="L1080" s="3">
        <f>IF(Sales_Table[[#This Row],[Revenue]]=0,0,Sales_Table[[#This Row],[Revenue]]/Sales_Table[[#This Row],[Profit]])</f>
        <v>2.6954118297401881</v>
      </c>
    </row>
    <row r="1081" spans="1:12" x14ac:dyDescent="0.5">
      <c r="A1081" t="s">
        <v>1214</v>
      </c>
      <c r="B1081">
        <v>9752</v>
      </c>
      <c r="C1081">
        <v>3618</v>
      </c>
      <c r="D1081">
        <v>5</v>
      </c>
      <c r="E1081" t="s">
        <v>36</v>
      </c>
      <c r="F1081" t="s">
        <v>87</v>
      </c>
      <c r="G1081" t="s">
        <v>26</v>
      </c>
      <c r="H1081" s="1">
        <v>44865</v>
      </c>
      <c r="I1081" t="s">
        <v>1216</v>
      </c>
      <c r="J1081" t="s">
        <v>17</v>
      </c>
      <c r="K1081" t="s">
        <v>134</v>
      </c>
      <c r="L1081" s="3">
        <f>IF(Sales_Table[[#This Row],[Revenue]]=0,0,Sales_Table[[#This Row],[Revenue]]/Sales_Table[[#This Row],[Profit]])</f>
        <v>2.6954118297401881</v>
      </c>
    </row>
    <row r="1082" spans="1:12" x14ac:dyDescent="0.5">
      <c r="A1082" t="s">
        <v>1217</v>
      </c>
      <c r="B1082">
        <v>5335</v>
      </c>
      <c r="C1082">
        <v>322</v>
      </c>
      <c r="D1082">
        <v>15</v>
      </c>
      <c r="E1082" t="s">
        <v>10</v>
      </c>
      <c r="F1082" t="s">
        <v>11</v>
      </c>
      <c r="G1082" t="s">
        <v>53</v>
      </c>
      <c r="H1082" s="1">
        <v>44696</v>
      </c>
      <c r="I1082" t="s">
        <v>1218</v>
      </c>
      <c r="J1082" t="s">
        <v>20</v>
      </c>
      <c r="K1082" t="s">
        <v>42</v>
      </c>
      <c r="L1082" s="3">
        <f>IF(Sales_Table[[#This Row],[Revenue]]=0,0,Sales_Table[[#This Row],[Revenue]]/Sales_Table[[#This Row],[Profit]])</f>
        <v>16.56832298136646</v>
      </c>
    </row>
    <row r="1083" spans="1:12" x14ac:dyDescent="0.5">
      <c r="A1083" t="s">
        <v>1219</v>
      </c>
      <c r="B1083">
        <v>1454</v>
      </c>
      <c r="C1083">
        <v>80</v>
      </c>
      <c r="D1083">
        <v>20</v>
      </c>
      <c r="E1083" t="s">
        <v>10</v>
      </c>
      <c r="F1083" t="s">
        <v>11</v>
      </c>
      <c r="G1083" t="s">
        <v>38</v>
      </c>
      <c r="H1083" s="1">
        <v>44764</v>
      </c>
      <c r="I1083" t="s">
        <v>1220</v>
      </c>
      <c r="J1083" t="s">
        <v>20</v>
      </c>
      <c r="K1083" t="s">
        <v>56</v>
      </c>
      <c r="L1083" s="3">
        <f>IF(Sales_Table[[#This Row],[Revenue]]=0,0,Sales_Table[[#This Row],[Revenue]]/Sales_Table[[#This Row],[Profit]])</f>
        <v>18.175000000000001</v>
      </c>
    </row>
    <row r="1084" spans="1:12" x14ac:dyDescent="0.5">
      <c r="A1084" t="s">
        <v>1221</v>
      </c>
      <c r="B1084">
        <v>6724</v>
      </c>
      <c r="C1084">
        <v>1539</v>
      </c>
      <c r="D1084">
        <v>19</v>
      </c>
      <c r="E1084" t="s">
        <v>36</v>
      </c>
      <c r="F1084" t="s">
        <v>87</v>
      </c>
      <c r="G1084" t="s">
        <v>53</v>
      </c>
      <c r="H1084" s="1">
        <v>44543</v>
      </c>
      <c r="I1084" t="s">
        <v>1222</v>
      </c>
      <c r="J1084" t="s">
        <v>34</v>
      </c>
      <c r="K1084" t="s">
        <v>75</v>
      </c>
      <c r="L1084" s="3">
        <f>IF(Sales_Table[[#This Row],[Revenue]]=0,0,Sales_Table[[#This Row],[Revenue]]/Sales_Table[[#This Row],[Profit]])</f>
        <v>4.3690708252111765</v>
      </c>
    </row>
    <row r="1085" spans="1:12" x14ac:dyDescent="0.5">
      <c r="A1085" t="s">
        <v>1221</v>
      </c>
      <c r="B1085">
        <v>6724</v>
      </c>
      <c r="C1085">
        <v>1539</v>
      </c>
      <c r="D1085">
        <v>19</v>
      </c>
      <c r="E1085" t="s">
        <v>36</v>
      </c>
      <c r="F1085" t="s">
        <v>87</v>
      </c>
      <c r="G1085" t="s">
        <v>53</v>
      </c>
      <c r="H1085" s="1">
        <v>44350</v>
      </c>
      <c r="I1085" t="s">
        <v>1223</v>
      </c>
      <c r="J1085" t="s">
        <v>59</v>
      </c>
      <c r="K1085" t="s">
        <v>60</v>
      </c>
      <c r="L1085" s="3">
        <f>IF(Sales_Table[[#This Row],[Revenue]]=0,0,Sales_Table[[#This Row],[Revenue]]/Sales_Table[[#This Row],[Profit]])</f>
        <v>4.3690708252111765</v>
      </c>
    </row>
    <row r="1086" spans="1:12" x14ac:dyDescent="0.5">
      <c r="A1086" t="s">
        <v>1224</v>
      </c>
      <c r="B1086">
        <v>9874</v>
      </c>
      <c r="C1086">
        <v>3895</v>
      </c>
      <c r="D1086">
        <v>4</v>
      </c>
      <c r="E1086" t="s">
        <v>24</v>
      </c>
      <c r="F1086" t="s">
        <v>64</v>
      </c>
      <c r="G1086" t="s">
        <v>32</v>
      </c>
      <c r="H1086" s="1">
        <v>45712</v>
      </c>
      <c r="I1086" t="s">
        <v>1225</v>
      </c>
      <c r="J1086" t="s">
        <v>79</v>
      </c>
      <c r="K1086" t="s">
        <v>94</v>
      </c>
      <c r="L1086" s="3">
        <f>IF(Sales_Table[[#This Row],[Revenue]]=0,0,Sales_Table[[#This Row],[Revenue]]/Sales_Table[[#This Row],[Profit]])</f>
        <v>2.5350449293966624</v>
      </c>
    </row>
    <row r="1087" spans="1:12" x14ac:dyDescent="0.5">
      <c r="A1087" t="s">
        <v>1226</v>
      </c>
      <c r="B1087">
        <v>4918</v>
      </c>
      <c r="C1087">
        <v>1485</v>
      </c>
      <c r="D1087">
        <v>7</v>
      </c>
      <c r="E1087" t="s">
        <v>10</v>
      </c>
      <c r="F1087" t="s">
        <v>67</v>
      </c>
      <c r="G1087" t="s">
        <v>12</v>
      </c>
      <c r="H1087" s="1">
        <v>44959</v>
      </c>
      <c r="I1087" t="s">
        <v>1227</v>
      </c>
      <c r="J1087" t="s">
        <v>14</v>
      </c>
      <c r="K1087" t="s">
        <v>118</v>
      </c>
      <c r="L1087" s="3">
        <f>IF(Sales_Table[[#This Row],[Revenue]]=0,0,Sales_Table[[#This Row],[Revenue]]/Sales_Table[[#This Row],[Profit]])</f>
        <v>3.3117845117845119</v>
      </c>
    </row>
    <row r="1088" spans="1:12" x14ac:dyDescent="0.5">
      <c r="A1088" t="s">
        <v>1228</v>
      </c>
      <c r="B1088">
        <v>3189</v>
      </c>
      <c r="C1088">
        <v>1180</v>
      </c>
      <c r="D1088">
        <v>19</v>
      </c>
      <c r="E1088" t="s">
        <v>24</v>
      </c>
      <c r="F1088" t="s">
        <v>52</v>
      </c>
      <c r="G1088" t="s">
        <v>38</v>
      </c>
      <c r="H1088" s="1">
        <v>44561</v>
      </c>
      <c r="I1088" t="s">
        <v>1229</v>
      </c>
      <c r="J1088" t="s">
        <v>20</v>
      </c>
      <c r="K1088" t="s">
        <v>42</v>
      </c>
      <c r="L1088" s="3">
        <f>IF(Sales_Table[[#This Row],[Revenue]]=0,0,Sales_Table[[#This Row],[Revenue]]/Sales_Table[[#This Row],[Profit]])</f>
        <v>2.7025423728813558</v>
      </c>
    </row>
    <row r="1089" spans="1:12" x14ac:dyDescent="0.5">
      <c r="A1089" t="s">
        <v>1230</v>
      </c>
      <c r="B1089">
        <v>2684</v>
      </c>
      <c r="C1089">
        <v>713</v>
      </c>
      <c r="D1089">
        <v>2</v>
      </c>
      <c r="E1089" t="s">
        <v>10</v>
      </c>
      <c r="F1089" t="s">
        <v>11</v>
      </c>
      <c r="G1089" t="s">
        <v>12</v>
      </c>
      <c r="H1089" s="1">
        <v>45458</v>
      </c>
      <c r="I1089" t="s">
        <v>1231</v>
      </c>
      <c r="J1089" t="s">
        <v>20</v>
      </c>
      <c r="K1089" t="s">
        <v>42</v>
      </c>
      <c r="L1089" s="3">
        <f>IF(Sales_Table[[#This Row],[Revenue]]=0,0,Sales_Table[[#This Row],[Revenue]]/Sales_Table[[#This Row],[Profit]])</f>
        <v>3.7643758765778399</v>
      </c>
    </row>
    <row r="1090" spans="1:12" x14ac:dyDescent="0.5">
      <c r="A1090" t="s">
        <v>1230</v>
      </c>
      <c r="B1090">
        <v>2684</v>
      </c>
      <c r="C1090">
        <v>713</v>
      </c>
      <c r="D1090">
        <v>2</v>
      </c>
      <c r="E1090" t="s">
        <v>10</v>
      </c>
      <c r="F1090" t="s">
        <v>11</v>
      </c>
      <c r="G1090" t="s">
        <v>12</v>
      </c>
      <c r="H1090" s="1">
        <v>44717</v>
      </c>
      <c r="I1090" t="s">
        <v>1232</v>
      </c>
      <c r="J1090" t="s">
        <v>20</v>
      </c>
      <c r="K1090" t="s">
        <v>21</v>
      </c>
      <c r="L1090" s="3">
        <f>IF(Sales_Table[[#This Row],[Revenue]]=0,0,Sales_Table[[#This Row],[Revenue]]/Sales_Table[[#This Row],[Profit]])</f>
        <v>3.7643758765778399</v>
      </c>
    </row>
    <row r="1091" spans="1:12" x14ac:dyDescent="0.5">
      <c r="A1091" t="s">
        <v>1230</v>
      </c>
      <c r="B1091">
        <v>2684</v>
      </c>
      <c r="C1091">
        <v>713</v>
      </c>
      <c r="D1091">
        <v>2</v>
      </c>
      <c r="E1091" t="s">
        <v>10</v>
      </c>
      <c r="F1091" t="s">
        <v>11</v>
      </c>
      <c r="G1091" t="s">
        <v>12</v>
      </c>
      <c r="H1091" s="1">
        <v>43962</v>
      </c>
      <c r="I1091" t="s">
        <v>1233</v>
      </c>
      <c r="J1091" t="s">
        <v>59</v>
      </c>
      <c r="K1091" t="s">
        <v>60</v>
      </c>
      <c r="L1091" s="3">
        <f>IF(Sales_Table[[#This Row],[Revenue]]=0,0,Sales_Table[[#This Row],[Revenue]]/Sales_Table[[#This Row],[Profit]])</f>
        <v>3.7643758765778399</v>
      </c>
    </row>
    <row r="1092" spans="1:12" x14ac:dyDescent="0.5">
      <c r="A1092" t="s">
        <v>1234</v>
      </c>
      <c r="B1092">
        <v>7626</v>
      </c>
      <c r="C1092">
        <v>229</v>
      </c>
      <c r="D1092">
        <v>5</v>
      </c>
      <c r="E1092" t="s">
        <v>24</v>
      </c>
      <c r="F1092" t="s">
        <v>25</v>
      </c>
      <c r="G1092" t="s">
        <v>32</v>
      </c>
      <c r="H1092" s="1">
        <v>45333</v>
      </c>
      <c r="I1092" t="s">
        <v>1235</v>
      </c>
      <c r="J1092" t="s">
        <v>17</v>
      </c>
      <c r="K1092" t="s">
        <v>51</v>
      </c>
      <c r="L1092" s="3">
        <f>IF(Sales_Table[[#This Row],[Revenue]]=0,0,Sales_Table[[#This Row],[Revenue]]/Sales_Table[[#This Row],[Profit]])</f>
        <v>33.301310043668124</v>
      </c>
    </row>
    <row r="1093" spans="1:12" x14ac:dyDescent="0.5">
      <c r="A1093" t="s">
        <v>1234</v>
      </c>
      <c r="B1093">
        <v>7626</v>
      </c>
      <c r="C1093">
        <v>229</v>
      </c>
      <c r="D1093">
        <v>5</v>
      </c>
      <c r="E1093" t="s">
        <v>24</v>
      </c>
      <c r="F1093" t="s">
        <v>25</v>
      </c>
      <c r="G1093" t="s">
        <v>32</v>
      </c>
      <c r="H1093" s="1">
        <v>44160</v>
      </c>
      <c r="I1093" t="s">
        <v>1236</v>
      </c>
      <c r="J1093" t="s">
        <v>79</v>
      </c>
      <c r="K1093" t="s">
        <v>80</v>
      </c>
      <c r="L1093" s="3">
        <f>IF(Sales_Table[[#This Row],[Revenue]]=0,0,Sales_Table[[#This Row],[Revenue]]/Sales_Table[[#This Row],[Profit]])</f>
        <v>33.301310043668124</v>
      </c>
    </row>
    <row r="1094" spans="1:12" x14ac:dyDescent="0.5">
      <c r="A1094" t="s">
        <v>1237</v>
      </c>
      <c r="B1094">
        <v>6669</v>
      </c>
      <c r="C1094">
        <v>3063</v>
      </c>
      <c r="D1094">
        <v>19</v>
      </c>
      <c r="E1094" t="s">
        <v>10</v>
      </c>
      <c r="F1094" t="s">
        <v>22</v>
      </c>
      <c r="G1094" t="s">
        <v>12</v>
      </c>
      <c r="H1094" s="1">
        <v>45150</v>
      </c>
      <c r="I1094" t="s">
        <v>1238</v>
      </c>
      <c r="J1094" t="s">
        <v>79</v>
      </c>
      <c r="K1094" t="s">
        <v>86</v>
      </c>
      <c r="L1094" s="3">
        <f>IF(Sales_Table[[#This Row],[Revenue]]=0,0,Sales_Table[[#This Row],[Revenue]]/Sales_Table[[#This Row],[Profit]])</f>
        <v>2.177277179236043</v>
      </c>
    </row>
    <row r="1095" spans="1:12" x14ac:dyDescent="0.5">
      <c r="A1095" t="s">
        <v>1239</v>
      </c>
      <c r="B1095">
        <v>6123</v>
      </c>
      <c r="C1095">
        <v>1686</v>
      </c>
      <c r="D1095">
        <v>3</v>
      </c>
      <c r="E1095" t="s">
        <v>24</v>
      </c>
      <c r="F1095" t="s">
        <v>46</v>
      </c>
      <c r="G1095" t="s">
        <v>38</v>
      </c>
      <c r="H1095" s="1">
        <v>44687</v>
      </c>
      <c r="I1095" t="s">
        <v>1240</v>
      </c>
      <c r="J1095" t="s">
        <v>79</v>
      </c>
      <c r="K1095" t="s">
        <v>86</v>
      </c>
      <c r="L1095" s="3">
        <f>IF(Sales_Table[[#This Row],[Revenue]]=0,0,Sales_Table[[#This Row],[Revenue]]/Sales_Table[[#This Row],[Profit]])</f>
        <v>3.6316725978647688</v>
      </c>
    </row>
    <row r="1096" spans="1:12" x14ac:dyDescent="0.5">
      <c r="A1096" t="s">
        <v>1241</v>
      </c>
      <c r="B1096">
        <v>3265</v>
      </c>
      <c r="C1096">
        <v>1390</v>
      </c>
      <c r="D1096">
        <v>16</v>
      </c>
      <c r="E1096" t="s">
        <v>24</v>
      </c>
      <c r="F1096" t="s">
        <v>52</v>
      </c>
      <c r="G1096" t="s">
        <v>38</v>
      </c>
      <c r="H1096" s="1">
        <v>45308</v>
      </c>
      <c r="I1096" t="s">
        <v>1242</v>
      </c>
      <c r="J1096" t="s">
        <v>34</v>
      </c>
      <c r="K1096" t="s">
        <v>35</v>
      </c>
      <c r="L1096" s="3">
        <f>IF(Sales_Table[[#This Row],[Revenue]]=0,0,Sales_Table[[#This Row],[Revenue]]/Sales_Table[[#This Row],[Profit]])</f>
        <v>2.3489208633093526</v>
      </c>
    </row>
    <row r="1097" spans="1:12" x14ac:dyDescent="0.5">
      <c r="A1097" t="s">
        <v>1243</v>
      </c>
      <c r="B1097">
        <v>8104</v>
      </c>
      <c r="C1097">
        <v>1039</v>
      </c>
      <c r="D1097">
        <v>6</v>
      </c>
      <c r="E1097" t="s">
        <v>24</v>
      </c>
      <c r="F1097" t="s">
        <v>46</v>
      </c>
      <c r="G1097" t="s">
        <v>53</v>
      </c>
      <c r="H1097" s="1">
        <v>44524</v>
      </c>
      <c r="I1097" t="s">
        <v>1244</v>
      </c>
      <c r="J1097" t="s">
        <v>14</v>
      </c>
      <c r="K1097" t="s">
        <v>28</v>
      </c>
      <c r="L1097" s="3">
        <f>IF(Sales_Table[[#This Row],[Revenue]]=0,0,Sales_Table[[#This Row],[Revenue]]/Sales_Table[[#This Row],[Profit]])</f>
        <v>7.7998075072184792</v>
      </c>
    </row>
    <row r="1098" spans="1:12" x14ac:dyDescent="0.5">
      <c r="A1098" t="s">
        <v>1243</v>
      </c>
      <c r="B1098">
        <v>8104</v>
      </c>
      <c r="C1098">
        <v>1039</v>
      </c>
      <c r="D1098">
        <v>6</v>
      </c>
      <c r="E1098" t="s">
        <v>24</v>
      </c>
      <c r="F1098" t="s">
        <v>46</v>
      </c>
      <c r="G1098" t="s">
        <v>53</v>
      </c>
      <c r="H1098" s="1">
        <v>44475</v>
      </c>
      <c r="I1098" t="s">
        <v>1245</v>
      </c>
      <c r="J1098" t="s">
        <v>14</v>
      </c>
      <c r="K1098" t="s">
        <v>15</v>
      </c>
      <c r="L1098" s="3">
        <f>IF(Sales_Table[[#This Row],[Revenue]]=0,0,Sales_Table[[#This Row],[Revenue]]/Sales_Table[[#This Row],[Profit]])</f>
        <v>7.7998075072184792</v>
      </c>
    </row>
    <row r="1099" spans="1:12" x14ac:dyDescent="0.5">
      <c r="A1099" t="s">
        <v>1243</v>
      </c>
      <c r="B1099">
        <v>8104</v>
      </c>
      <c r="C1099">
        <v>1039</v>
      </c>
      <c r="D1099">
        <v>6</v>
      </c>
      <c r="E1099" t="s">
        <v>24</v>
      </c>
      <c r="F1099" t="s">
        <v>46</v>
      </c>
      <c r="G1099" t="s">
        <v>53</v>
      </c>
      <c r="H1099" s="1">
        <v>45684</v>
      </c>
      <c r="I1099" t="s">
        <v>1246</v>
      </c>
      <c r="J1099" t="s">
        <v>34</v>
      </c>
      <c r="K1099" t="s">
        <v>75</v>
      </c>
      <c r="L1099" s="3">
        <f>IF(Sales_Table[[#This Row],[Revenue]]=0,0,Sales_Table[[#This Row],[Revenue]]/Sales_Table[[#This Row],[Profit]])</f>
        <v>7.7998075072184792</v>
      </c>
    </row>
    <row r="1100" spans="1:12" x14ac:dyDescent="0.5">
      <c r="A1100" t="s">
        <v>1247</v>
      </c>
      <c r="B1100">
        <v>847</v>
      </c>
      <c r="C1100">
        <v>355</v>
      </c>
      <c r="D1100">
        <v>17</v>
      </c>
      <c r="E1100" t="s">
        <v>36</v>
      </c>
      <c r="F1100" t="s">
        <v>37</v>
      </c>
      <c r="G1100" t="s">
        <v>53</v>
      </c>
      <c r="H1100" s="1">
        <v>44704</v>
      </c>
      <c r="I1100" t="s">
        <v>1248</v>
      </c>
      <c r="J1100" t="s">
        <v>20</v>
      </c>
      <c r="K1100" t="s">
        <v>21</v>
      </c>
      <c r="L1100" s="3">
        <f>IF(Sales_Table[[#This Row],[Revenue]]=0,0,Sales_Table[[#This Row],[Revenue]]/Sales_Table[[#This Row],[Profit]])</f>
        <v>2.3859154929577464</v>
      </c>
    </row>
    <row r="1101" spans="1:12" x14ac:dyDescent="0.5">
      <c r="A1101" t="s">
        <v>1247</v>
      </c>
      <c r="B1101">
        <v>847</v>
      </c>
      <c r="C1101">
        <v>355</v>
      </c>
      <c r="D1101">
        <v>17</v>
      </c>
      <c r="E1101" t="s">
        <v>36</v>
      </c>
      <c r="F1101" t="s">
        <v>37</v>
      </c>
      <c r="G1101" t="s">
        <v>53</v>
      </c>
      <c r="H1101" s="1">
        <v>45258</v>
      </c>
      <c r="I1101" t="s">
        <v>1249</v>
      </c>
      <c r="J1101" t="s">
        <v>59</v>
      </c>
      <c r="K1101" t="s">
        <v>71</v>
      </c>
      <c r="L1101" s="3">
        <f>IF(Sales_Table[[#This Row],[Revenue]]=0,0,Sales_Table[[#This Row],[Revenue]]/Sales_Table[[#This Row],[Profit]])</f>
        <v>2.3859154929577464</v>
      </c>
    </row>
    <row r="1102" spans="1:12" x14ac:dyDescent="0.5">
      <c r="A1102" t="s">
        <v>1247</v>
      </c>
      <c r="B1102">
        <v>847</v>
      </c>
      <c r="C1102">
        <v>355</v>
      </c>
      <c r="D1102">
        <v>17</v>
      </c>
      <c r="E1102" t="s">
        <v>36</v>
      </c>
      <c r="F1102" t="s">
        <v>37</v>
      </c>
      <c r="G1102" t="s">
        <v>53</v>
      </c>
      <c r="H1102" s="1">
        <v>44944</v>
      </c>
      <c r="I1102" t="s">
        <v>1250</v>
      </c>
      <c r="J1102" t="s">
        <v>34</v>
      </c>
      <c r="K1102" t="s">
        <v>75</v>
      </c>
      <c r="L1102" s="3">
        <f>IF(Sales_Table[[#This Row],[Revenue]]=0,0,Sales_Table[[#This Row],[Revenue]]/Sales_Table[[#This Row],[Profit]])</f>
        <v>2.3859154929577464</v>
      </c>
    </row>
    <row r="1103" spans="1:12" x14ac:dyDescent="0.5">
      <c r="A1103" t="s">
        <v>1251</v>
      </c>
      <c r="B1103">
        <v>3129</v>
      </c>
      <c r="C1103">
        <v>55</v>
      </c>
      <c r="D1103">
        <v>9</v>
      </c>
      <c r="E1103" t="s">
        <v>36</v>
      </c>
      <c r="F1103" t="s">
        <v>87</v>
      </c>
      <c r="G1103" t="s">
        <v>26</v>
      </c>
      <c r="H1103" s="1">
        <v>44445</v>
      </c>
      <c r="I1103" t="s">
        <v>1252</v>
      </c>
      <c r="J1103" t="s">
        <v>17</v>
      </c>
      <c r="K1103" t="s">
        <v>134</v>
      </c>
      <c r="L1103" s="3">
        <f>IF(Sales_Table[[#This Row],[Revenue]]=0,0,Sales_Table[[#This Row],[Revenue]]/Sales_Table[[#This Row],[Profit]])</f>
        <v>56.890909090909091</v>
      </c>
    </row>
    <row r="1104" spans="1:12" x14ac:dyDescent="0.5">
      <c r="A1104" t="s">
        <v>1251</v>
      </c>
      <c r="B1104">
        <v>7821</v>
      </c>
      <c r="C1104">
        <v>3821</v>
      </c>
      <c r="D1104">
        <v>13</v>
      </c>
      <c r="E1104" t="s">
        <v>10</v>
      </c>
      <c r="F1104" t="s">
        <v>31</v>
      </c>
      <c r="G1104" t="s">
        <v>32</v>
      </c>
      <c r="H1104" s="1">
        <v>44445</v>
      </c>
      <c r="I1104" t="s">
        <v>1252</v>
      </c>
      <c r="J1104" t="s">
        <v>17</v>
      </c>
      <c r="K1104" t="s">
        <v>134</v>
      </c>
      <c r="L1104" s="3">
        <f>IF(Sales_Table[[#This Row],[Revenue]]=0,0,Sales_Table[[#This Row],[Revenue]]/Sales_Table[[#This Row],[Profit]])</f>
        <v>2.0468463752944257</v>
      </c>
    </row>
    <row r="1105" spans="1:12" x14ac:dyDescent="0.5">
      <c r="A1105" t="s">
        <v>1253</v>
      </c>
      <c r="B1105">
        <v>9498</v>
      </c>
      <c r="C1105">
        <v>256</v>
      </c>
      <c r="D1105">
        <v>12</v>
      </c>
      <c r="E1105" t="s">
        <v>10</v>
      </c>
      <c r="F1105" t="s">
        <v>67</v>
      </c>
      <c r="G1105" t="s">
        <v>53</v>
      </c>
      <c r="H1105" s="1">
        <v>44249</v>
      </c>
      <c r="I1105" t="s">
        <v>1254</v>
      </c>
      <c r="J1105" t="s">
        <v>17</v>
      </c>
      <c r="K1105" t="s">
        <v>134</v>
      </c>
      <c r="L1105" s="3">
        <f>IF(Sales_Table[[#This Row],[Revenue]]=0,0,Sales_Table[[#This Row],[Revenue]]/Sales_Table[[#This Row],[Profit]])</f>
        <v>37.1015625</v>
      </c>
    </row>
    <row r="1106" spans="1:12" x14ac:dyDescent="0.5">
      <c r="A1106" t="s">
        <v>1253</v>
      </c>
      <c r="B1106">
        <v>9498</v>
      </c>
      <c r="C1106">
        <v>256</v>
      </c>
      <c r="D1106">
        <v>12</v>
      </c>
      <c r="E1106" t="s">
        <v>10</v>
      </c>
      <c r="F1106" t="s">
        <v>67</v>
      </c>
      <c r="G1106" t="s">
        <v>53</v>
      </c>
      <c r="H1106" s="1">
        <v>44475</v>
      </c>
      <c r="I1106" t="s">
        <v>1255</v>
      </c>
      <c r="J1106" t="s">
        <v>20</v>
      </c>
      <c r="K1106" t="s">
        <v>42</v>
      </c>
      <c r="L1106" s="3">
        <f>IF(Sales_Table[[#This Row],[Revenue]]=0,0,Sales_Table[[#This Row],[Revenue]]/Sales_Table[[#This Row],[Profit]])</f>
        <v>37.1015625</v>
      </c>
    </row>
    <row r="1107" spans="1:12" x14ac:dyDescent="0.5">
      <c r="A1107" t="s">
        <v>1256</v>
      </c>
      <c r="B1107">
        <v>5461</v>
      </c>
      <c r="C1107">
        <v>1214</v>
      </c>
      <c r="D1107">
        <v>7</v>
      </c>
      <c r="E1107" t="s">
        <v>36</v>
      </c>
      <c r="F1107" t="s">
        <v>48</v>
      </c>
      <c r="G1107" t="s">
        <v>38</v>
      </c>
      <c r="H1107" s="1">
        <v>43989</v>
      </c>
      <c r="I1107" t="s">
        <v>1257</v>
      </c>
      <c r="J1107" t="s">
        <v>20</v>
      </c>
      <c r="K1107" t="s">
        <v>56</v>
      </c>
      <c r="L1107" s="3">
        <f>IF(Sales_Table[[#This Row],[Revenue]]=0,0,Sales_Table[[#This Row],[Revenue]]/Sales_Table[[#This Row],[Profit]])</f>
        <v>4.4983525535420101</v>
      </c>
    </row>
    <row r="1108" spans="1:12" x14ac:dyDescent="0.5">
      <c r="A1108" t="s">
        <v>1258</v>
      </c>
      <c r="B1108">
        <v>3084</v>
      </c>
      <c r="C1108">
        <v>611</v>
      </c>
      <c r="D1108">
        <v>19</v>
      </c>
      <c r="E1108" t="s">
        <v>36</v>
      </c>
      <c r="F1108" t="s">
        <v>87</v>
      </c>
      <c r="G1108" t="s">
        <v>12</v>
      </c>
      <c r="H1108" s="1">
        <v>45433</v>
      </c>
      <c r="I1108" t="s">
        <v>1259</v>
      </c>
      <c r="J1108" t="s">
        <v>59</v>
      </c>
      <c r="K1108" t="s">
        <v>60</v>
      </c>
      <c r="L1108" s="3">
        <f>IF(Sales_Table[[#This Row],[Revenue]]=0,0,Sales_Table[[#This Row],[Revenue]]/Sales_Table[[#This Row],[Profit]])</f>
        <v>5.0474631751227497</v>
      </c>
    </row>
    <row r="1109" spans="1:12" x14ac:dyDescent="0.5">
      <c r="A1109" t="s">
        <v>1260</v>
      </c>
      <c r="B1109">
        <v>6087</v>
      </c>
      <c r="C1109">
        <v>3043</v>
      </c>
      <c r="D1109">
        <v>1</v>
      </c>
      <c r="E1109" t="s">
        <v>36</v>
      </c>
      <c r="F1109" t="s">
        <v>48</v>
      </c>
      <c r="G1109" t="s">
        <v>53</v>
      </c>
      <c r="H1109" s="1">
        <v>44048</v>
      </c>
      <c r="I1109" t="s">
        <v>1261</v>
      </c>
      <c r="J1109" t="s">
        <v>20</v>
      </c>
      <c r="K1109" t="s">
        <v>21</v>
      </c>
      <c r="L1109" s="3">
        <f>IF(Sales_Table[[#This Row],[Revenue]]=0,0,Sales_Table[[#This Row],[Revenue]]/Sales_Table[[#This Row],[Profit]])</f>
        <v>2.0003286230693393</v>
      </c>
    </row>
    <row r="1110" spans="1:12" x14ac:dyDescent="0.5">
      <c r="A1110" t="s">
        <v>1262</v>
      </c>
      <c r="B1110">
        <v>611</v>
      </c>
      <c r="C1110">
        <v>300</v>
      </c>
      <c r="D1110">
        <v>3</v>
      </c>
      <c r="E1110" t="s">
        <v>36</v>
      </c>
      <c r="F1110" t="s">
        <v>87</v>
      </c>
      <c r="G1110" t="s">
        <v>38</v>
      </c>
      <c r="H1110" s="1">
        <v>44119</v>
      </c>
      <c r="I1110" t="s">
        <v>1263</v>
      </c>
      <c r="J1110" t="s">
        <v>17</v>
      </c>
      <c r="K1110" t="s">
        <v>134</v>
      </c>
      <c r="L1110" s="3">
        <f>IF(Sales_Table[[#This Row],[Revenue]]=0,0,Sales_Table[[#This Row],[Revenue]]/Sales_Table[[#This Row],[Profit]])</f>
        <v>2.0366666666666666</v>
      </c>
    </row>
    <row r="1111" spans="1:12" x14ac:dyDescent="0.5">
      <c r="A1111" t="s">
        <v>1264</v>
      </c>
      <c r="B1111">
        <v>9909</v>
      </c>
      <c r="C1111">
        <v>2999</v>
      </c>
      <c r="D1111">
        <v>18</v>
      </c>
      <c r="E1111" t="s">
        <v>24</v>
      </c>
      <c r="F1111" t="s">
        <v>46</v>
      </c>
      <c r="G1111" t="s">
        <v>53</v>
      </c>
      <c r="H1111" s="1">
        <v>44331</v>
      </c>
      <c r="I1111" t="s">
        <v>1265</v>
      </c>
      <c r="J1111" t="s">
        <v>79</v>
      </c>
      <c r="K1111" t="s">
        <v>94</v>
      </c>
      <c r="L1111" s="3">
        <f>IF(Sales_Table[[#This Row],[Revenue]]=0,0,Sales_Table[[#This Row],[Revenue]]/Sales_Table[[#This Row],[Profit]])</f>
        <v>3.304101367122374</v>
      </c>
    </row>
    <row r="1112" spans="1:12" x14ac:dyDescent="0.5">
      <c r="A1112" t="s">
        <v>1264</v>
      </c>
      <c r="B1112">
        <v>9909</v>
      </c>
      <c r="C1112">
        <v>2999</v>
      </c>
      <c r="D1112">
        <v>18</v>
      </c>
      <c r="E1112" t="s">
        <v>24</v>
      </c>
      <c r="F1112" t="s">
        <v>46</v>
      </c>
      <c r="G1112" t="s">
        <v>53</v>
      </c>
      <c r="H1112" s="1">
        <v>44574</v>
      </c>
      <c r="I1112" t="s">
        <v>1266</v>
      </c>
      <c r="J1112" t="s">
        <v>59</v>
      </c>
      <c r="K1112" t="s">
        <v>71</v>
      </c>
      <c r="L1112" s="3">
        <f>IF(Sales_Table[[#This Row],[Revenue]]=0,0,Sales_Table[[#This Row],[Revenue]]/Sales_Table[[#This Row],[Profit]])</f>
        <v>3.304101367122374</v>
      </c>
    </row>
    <row r="1113" spans="1:12" x14ac:dyDescent="0.5">
      <c r="A1113" t="s">
        <v>1267</v>
      </c>
      <c r="B1113">
        <v>6485</v>
      </c>
      <c r="C1113">
        <v>3178</v>
      </c>
      <c r="D1113">
        <v>18</v>
      </c>
      <c r="E1113" t="s">
        <v>36</v>
      </c>
      <c r="F1113" t="s">
        <v>48</v>
      </c>
      <c r="G1113" t="s">
        <v>12</v>
      </c>
      <c r="H1113" s="1">
        <v>45125</v>
      </c>
      <c r="I1113" t="s">
        <v>1268</v>
      </c>
      <c r="J1113" t="s">
        <v>79</v>
      </c>
      <c r="K1113" t="s">
        <v>80</v>
      </c>
      <c r="L1113" s="3">
        <f>IF(Sales_Table[[#This Row],[Revenue]]=0,0,Sales_Table[[#This Row],[Revenue]]/Sales_Table[[#This Row],[Profit]])</f>
        <v>2.0405915670232853</v>
      </c>
    </row>
    <row r="1114" spans="1:12" x14ac:dyDescent="0.5">
      <c r="A1114" t="s">
        <v>1269</v>
      </c>
      <c r="B1114">
        <v>7259</v>
      </c>
      <c r="C1114">
        <v>1969</v>
      </c>
      <c r="D1114">
        <v>10</v>
      </c>
      <c r="E1114" t="s">
        <v>10</v>
      </c>
      <c r="F1114" t="s">
        <v>31</v>
      </c>
      <c r="G1114" t="s">
        <v>38</v>
      </c>
      <c r="H1114" s="1">
        <v>44903</v>
      </c>
      <c r="I1114" t="s">
        <v>1270</v>
      </c>
      <c r="J1114" t="s">
        <v>17</v>
      </c>
      <c r="K1114" t="s">
        <v>51</v>
      </c>
      <c r="L1114" s="3">
        <f>IF(Sales_Table[[#This Row],[Revenue]]=0,0,Sales_Table[[#This Row],[Revenue]]/Sales_Table[[#This Row],[Profit]])</f>
        <v>3.6866429659725748</v>
      </c>
    </row>
    <row r="1115" spans="1:12" x14ac:dyDescent="0.5">
      <c r="A1115" t="s">
        <v>1271</v>
      </c>
      <c r="B1115">
        <v>3333</v>
      </c>
      <c r="C1115">
        <v>700</v>
      </c>
      <c r="D1115">
        <v>18</v>
      </c>
      <c r="E1115" t="s">
        <v>10</v>
      </c>
      <c r="F1115" t="s">
        <v>22</v>
      </c>
      <c r="G1115" t="s">
        <v>53</v>
      </c>
      <c r="H1115" s="1">
        <v>45033</v>
      </c>
      <c r="I1115" t="s">
        <v>1272</v>
      </c>
      <c r="J1115" t="s">
        <v>14</v>
      </c>
      <c r="K1115" t="s">
        <v>15</v>
      </c>
      <c r="L1115" s="3">
        <f>IF(Sales_Table[[#This Row],[Revenue]]=0,0,Sales_Table[[#This Row],[Revenue]]/Sales_Table[[#This Row],[Profit]])</f>
        <v>4.7614285714285716</v>
      </c>
    </row>
    <row r="1116" spans="1:12" x14ac:dyDescent="0.5">
      <c r="A1116" t="s">
        <v>1273</v>
      </c>
      <c r="B1116">
        <v>7786</v>
      </c>
      <c r="C1116">
        <v>1202</v>
      </c>
      <c r="D1116">
        <v>4</v>
      </c>
      <c r="E1116" t="s">
        <v>36</v>
      </c>
      <c r="F1116" t="s">
        <v>48</v>
      </c>
      <c r="G1116" t="s">
        <v>32</v>
      </c>
      <c r="H1116" s="1">
        <v>44005</v>
      </c>
      <c r="I1116" t="s">
        <v>1274</v>
      </c>
      <c r="J1116" t="s">
        <v>17</v>
      </c>
      <c r="K1116" t="s">
        <v>134</v>
      </c>
      <c r="L1116" s="3">
        <f>IF(Sales_Table[[#This Row],[Revenue]]=0,0,Sales_Table[[#This Row],[Revenue]]/Sales_Table[[#This Row],[Profit]])</f>
        <v>6.4775374376039929</v>
      </c>
    </row>
    <row r="1117" spans="1:12" x14ac:dyDescent="0.5">
      <c r="A1117" t="s">
        <v>1275</v>
      </c>
      <c r="B1117">
        <v>7644</v>
      </c>
      <c r="C1117">
        <v>2428</v>
      </c>
      <c r="D1117">
        <v>6</v>
      </c>
      <c r="E1117" t="s">
        <v>10</v>
      </c>
      <c r="F1117" t="s">
        <v>67</v>
      </c>
      <c r="G1117" t="s">
        <v>26</v>
      </c>
      <c r="H1117" s="1">
        <v>44581</v>
      </c>
      <c r="I1117" t="s">
        <v>1276</v>
      </c>
      <c r="J1117" t="s">
        <v>17</v>
      </c>
      <c r="K1117" t="s">
        <v>51</v>
      </c>
      <c r="L1117" s="3">
        <f>IF(Sales_Table[[#This Row],[Revenue]]=0,0,Sales_Table[[#This Row],[Revenue]]/Sales_Table[[#This Row],[Profit]])</f>
        <v>3.1482701812191105</v>
      </c>
    </row>
    <row r="1118" spans="1:12" x14ac:dyDescent="0.5">
      <c r="A1118" t="s">
        <v>1277</v>
      </c>
      <c r="B1118">
        <v>1476</v>
      </c>
      <c r="C1118">
        <v>247</v>
      </c>
      <c r="D1118">
        <v>5</v>
      </c>
      <c r="E1118" t="s">
        <v>36</v>
      </c>
      <c r="F1118" t="s">
        <v>87</v>
      </c>
      <c r="G1118" t="s">
        <v>53</v>
      </c>
      <c r="H1118" s="1">
        <v>45248</v>
      </c>
      <c r="I1118" t="s">
        <v>1278</v>
      </c>
      <c r="J1118" t="s">
        <v>34</v>
      </c>
      <c r="K1118" t="s">
        <v>35</v>
      </c>
      <c r="L1118" s="3">
        <f>IF(Sales_Table[[#This Row],[Revenue]]=0,0,Sales_Table[[#This Row],[Revenue]]/Sales_Table[[#This Row],[Profit]])</f>
        <v>5.9757085020242915</v>
      </c>
    </row>
    <row r="1119" spans="1:12" x14ac:dyDescent="0.5">
      <c r="A1119" t="s">
        <v>1277</v>
      </c>
      <c r="B1119">
        <v>1476</v>
      </c>
      <c r="C1119">
        <v>247</v>
      </c>
      <c r="D1119">
        <v>5</v>
      </c>
      <c r="E1119" t="s">
        <v>36</v>
      </c>
      <c r="F1119" t="s">
        <v>87</v>
      </c>
      <c r="G1119" t="s">
        <v>53</v>
      </c>
      <c r="H1119" s="1">
        <v>44580</v>
      </c>
      <c r="I1119" t="s">
        <v>1279</v>
      </c>
      <c r="J1119" t="s">
        <v>34</v>
      </c>
      <c r="K1119" t="s">
        <v>62</v>
      </c>
      <c r="L1119" s="3">
        <f>IF(Sales_Table[[#This Row],[Revenue]]=0,0,Sales_Table[[#This Row],[Revenue]]/Sales_Table[[#This Row],[Profit]])</f>
        <v>5.9757085020242915</v>
      </c>
    </row>
    <row r="1120" spans="1:12" x14ac:dyDescent="0.5">
      <c r="A1120" t="s">
        <v>1280</v>
      </c>
      <c r="B1120">
        <v>3445</v>
      </c>
      <c r="C1120">
        <v>1405</v>
      </c>
      <c r="D1120">
        <v>16</v>
      </c>
      <c r="E1120" t="s">
        <v>36</v>
      </c>
      <c r="F1120" t="s">
        <v>48</v>
      </c>
      <c r="G1120" t="s">
        <v>32</v>
      </c>
      <c r="H1120" s="1">
        <v>44095</v>
      </c>
      <c r="I1120" t="s">
        <v>1281</v>
      </c>
      <c r="J1120" t="s">
        <v>34</v>
      </c>
      <c r="K1120" t="s">
        <v>75</v>
      </c>
      <c r="L1120" s="3">
        <f>IF(Sales_Table[[#This Row],[Revenue]]=0,0,Sales_Table[[#This Row],[Revenue]]/Sales_Table[[#This Row],[Profit]])</f>
        <v>2.4519572953736657</v>
      </c>
    </row>
    <row r="1121" spans="1:12" x14ac:dyDescent="0.5">
      <c r="A1121" t="s">
        <v>1280</v>
      </c>
      <c r="B1121">
        <v>9837</v>
      </c>
      <c r="C1121">
        <v>384</v>
      </c>
      <c r="D1121">
        <v>1</v>
      </c>
      <c r="E1121" t="s">
        <v>10</v>
      </c>
      <c r="F1121" t="s">
        <v>31</v>
      </c>
      <c r="G1121" t="s">
        <v>12</v>
      </c>
      <c r="H1121" s="1">
        <v>44095</v>
      </c>
      <c r="I1121" t="s">
        <v>1281</v>
      </c>
      <c r="J1121" t="s">
        <v>34</v>
      </c>
      <c r="K1121" t="s">
        <v>75</v>
      </c>
      <c r="L1121" s="3">
        <f>IF(Sales_Table[[#This Row],[Revenue]]=0,0,Sales_Table[[#This Row],[Revenue]]/Sales_Table[[#This Row],[Profit]])</f>
        <v>25.6171875</v>
      </c>
    </row>
    <row r="1122" spans="1:12" x14ac:dyDescent="0.5">
      <c r="A1122" t="s">
        <v>1282</v>
      </c>
      <c r="B1122">
        <v>1314</v>
      </c>
      <c r="C1122">
        <v>457</v>
      </c>
      <c r="D1122">
        <v>8</v>
      </c>
      <c r="E1122" t="s">
        <v>36</v>
      </c>
      <c r="F1122" t="s">
        <v>48</v>
      </c>
      <c r="G1122" t="s">
        <v>32</v>
      </c>
      <c r="H1122" s="1">
        <v>44358</v>
      </c>
      <c r="I1122" t="s">
        <v>1283</v>
      </c>
      <c r="J1122" t="s">
        <v>34</v>
      </c>
      <c r="K1122" t="s">
        <v>62</v>
      </c>
      <c r="L1122" s="3">
        <f>IF(Sales_Table[[#This Row],[Revenue]]=0,0,Sales_Table[[#This Row],[Revenue]]/Sales_Table[[#This Row],[Profit]])</f>
        <v>2.8752735229759301</v>
      </c>
    </row>
    <row r="1123" spans="1:12" x14ac:dyDescent="0.5">
      <c r="A1123" t="s">
        <v>1284</v>
      </c>
      <c r="B1123">
        <v>5951</v>
      </c>
      <c r="C1123">
        <v>936</v>
      </c>
      <c r="D1123">
        <v>6</v>
      </c>
      <c r="E1123" t="s">
        <v>10</v>
      </c>
      <c r="F1123" t="s">
        <v>31</v>
      </c>
      <c r="G1123" t="s">
        <v>26</v>
      </c>
      <c r="H1123" s="1">
        <v>45511</v>
      </c>
      <c r="I1123" t="s">
        <v>1285</v>
      </c>
      <c r="J1123" t="s">
        <v>59</v>
      </c>
      <c r="K1123" t="s">
        <v>60</v>
      </c>
      <c r="L1123" s="3">
        <f>IF(Sales_Table[[#This Row],[Revenue]]=0,0,Sales_Table[[#This Row],[Revenue]]/Sales_Table[[#This Row],[Profit]])</f>
        <v>6.357905982905983</v>
      </c>
    </row>
    <row r="1124" spans="1:12" x14ac:dyDescent="0.5">
      <c r="A1124" t="s">
        <v>1284</v>
      </c>
      <c r="B1124">
        <v>5951</v>
      </c>
      <c r="C1124">
        <v>936</v>
      </c>
      <c r="D1124">
        <v>6</v>
      </c>
      <c r="E1124" t="s">
        <v>10</v>
      </c>
      <c r="F1124" t="s">
        <v>31</v>
      </c>
      <c r="G1124" t="s">
        <v>26</v>
      </c>
      <c r="H1124" s="1">
        <v>44768</v>
      </c>
      <c r="I1124" t="s">
        <v>1286</v>
      </c>
      <c r="J1124" t="s">
        <v>79</v>
      </c>
      <c r="K1124" t="s">
        <v>80</v>
      </c>
      <c r="L1124" s="3">
        <f>IF(Sales_Table[[#This Row],[Revenue]]=0,0,Sales_Table[[#This Row],[Revenue]]/Sales_Table[[#This Row],[Profit]])</f>
        <v>6.357905982905983</v>
      </c>
    </row>
    <row r="1125" spans="1:12" x14ac:dyDescent="0.5">
      <c r="A1125" t="s">
        <v>1287</v>
      </c>
      <c r="B1125">
        <v>992</v>
      </c>
      <c r="C1125">
        <v>177</v>
      </c>
      <c r="D1125">
        <v>6</v>
      </c>
      <c r="E1125" t="s">
        <v>10</v>
      </c>
      <c r="F1125" t="s">
        <v>67</v>
      </c>
      <c r="G1125" t="s">
        <v>12</v>
      </c>
      <c r="H1125" s="1">
        <v>45304</v>
      </c>
      <c r="I1125" t="s">
        <v>1288</v>
      </c>
      <c r="J1125" t="s">
        <v>34</v>
      </c>
      <c r="K1125" t="s">
        <v>35</v>
      </c>
      <c r="L1125" s="3">
        <f>IF(Sales_Table[[#This Row],[Revenue]]=0,0,Sales_Table[[#This Row],[Revenue]]/Sales_Table[[#This Row],[Profit]])</f>
        <v>5.6045197740112993</v>
      </c>
    </row>
    <row r="1126" spans="1:12" x14ac:dyDescent="0.5">
      <c r="A1126" t="s">
        <v>1287</v>
      </c>
      <c r="B1126">
        <v>4699</v>
      </c>
      <c r="C1126">
        <v>625</v>
      </c>
      <c r="D1126">
        <v>18</v>
      </c>
      <c r="E1126" t="s">
        <v>24</v>
      </c>
      <c r="F1126" t="s">
        <v>46</v>
      </c>
      <c r="G1126" t="s">
        <v>32</v>
      </c>
      <c r="H1126" s="1">
        <v>45304</v>
      </c>
      <c r="I1126" t="s">
        <v>1288</v>
      </c>
      <c r="J1126" t="s">
        <v>34</v>
      </c>
      <c r="K1126" t="s">
        <v>35</v>
      </c>
      <c r="L1126" s="3">
        <f>IF(Sales_Table[[#This Row],[Revenue]]=0,0,Sales_Table[[#This Row],[Revenue]]/Sales_Table[[#This Row],[Profit]])</f>
        <v>7.5183999999999997</v>
      </c>
    </row>
    <row r="1127" spans="1:12" x14ac:dyDescent="0.5">
      <c r="A1127" t="s">
        <v>1289</v>
      </c>
      <c r="B1127">
        <v>5557</v>
      </c>
      <c r="C1127">
        <v>2114</v>
      </c>
      <c r="D1127">
        <v>17</v>
      </c>
      <c r="E1127" t="s">
        <v>10</v>
      </c>
      <c r="F1127" t="s">
        <v>31</v>
      </c>
      <c r="G1127" t="s">
        <v>32</v>
      </c>
      <c r="H1127" s="1">
        <v>44344</v>
      </c>
      <c r="I1127" t="s">
        <v>1290</v>
      </c>
      <c r="J1127" t="s">
        <v>79</v>
      </c>
      <c r="K1127" t="s">
        <v>94</v>
      </c>
      <c r="L1127" s="3">
        <f>IF(Sales_Table[[#This Row],[Revenue]]=0,0,Sales_Table[[#This Row],[Revenue]]/Sales_Table[[#This Row],[Profit]])</f>
        <v>2.6286660359508041</v>
      </c>
    </row>
    <row r="1128" spans="1:12" x14ac:dyDescent="0.5">
      <c r="A1128" t="s">
        <v>1291</v>
      </c>
      <c r="B1128">
        <v>3436</v>
      </c>
      <c r="C1128">
        <v>933</v>
      </c>
      <c r="D1128">
        <v>3</v>
      </c>
      <c r="E1128" t="s">
        <v>10</v>
      </c>
      <c r="F1128" t="s">
        <v>11</v>
      </c>
      <c r="G1128" t="s">
        <v>38</v>
      </c>
      <c r="H1128" s="1">
        <v>44360</v>
      </c>
      <c r="I1128" t="s">
        <v>1292</v>
      </c>
      <c r="J1128" t="s">
        <v>59</v>
      </c>
      <c r="K1128" t="s">
        <v>60</v>
      </c>
      <c r="L1128" s="3">
        <f>IF(Sales_Table[[#This Row],[Revenue]]=0,0,Sales_Table[[#This Row],[Revenue]]/Sales_Table[[#This Row],[Profit]])</f>
        <v>3.682743837084673</v>
      </c>
    </row>
    <row r="1129" spans="1:12" x14ac:dyDescent="0.5">
      <c r="A1129" t="s">
        <v>1293</v>
      </c>
      <c r="B1129">
        <v>9840</v>
      </c>
      <c r="C1129">
        <v>3870</v>
      </c>
      <c r="D1129">
        <v>11</v>
      </c>
      <c r="E1129" t="s">
        <v>10</v>
      </c>
      <c r="F1129" t="s">
        <v>22</v>
      </c>
      <c r="G1129" t="s">
        <v>26</v>
      </c>
      <c r="H1129" s="1">
        <v>45041</v>
      </c>
      <c r="I1129" t="s">
        <v>1294</v>
      </c>
      <c r="J1129" t="s">
        <v>59</v>
      </c>
      <c r="K1129" t="s">
        <v>71</v>
      </c>
      <c r="L1129" s="3">
        <f>IF(Sales_Table[[#This Row],[Revenue]]=0,0,Sales_Table[[#This Row],[Revenue]]/Sales_Table[[#This Row],[Profit]])</f>
        <v>2.5426356589147288</v>
      </c>
    </row>
    <row r="1130" spans="1:12" x14ac:dyDescent="0.5">
      <c r="A1130" t="s">
        <v>1295</v>
      </c>
      <c r="B1130">
        <v>7620</v>
      </c>
      <c r="C1130">
        <v>125</v>
      </c>
      <c r="D1130">
        <v>4</v>
      </c>
      <c r="E1130" t="s">
        <v>24</v>
      </c>
      <c r="F1130" t="s">
        <v>52</v>
      </c>
      <c r="G1130" t="s">
        <v>32</v>
      </c>
      <c r="H1130" s="1">
        <v>44382</v>
      </c>
      <c r="I1130" t="s">
        <v>1296</v>
      </c>
      <c r="J1130" t="s">
        <v>34</v>
      </c>
      <c r="K1130" t="s">
        <v>75</v>
      </c>
      <c r="L1130" s="3">
        <f>IF(Sales_Table[[#This Row],[Revenue]]=0,0,Sales_Table[[#This Row],[Revenue]]/Sales_Table[[#This Row],[Profit]])</f>
        <v>60.96</v>
      </c>
    </row>
    <row r="1131" spans="1:12" x14ac:dyDescent="0.5">
      <c r="A1131" t="s">
        <v>1295</v>
      </c>
      <c r="B1131">
        <v>7620</v>
      </c>
      <c r="C1131">
        <v>125</v>
      </c>
      <c r="D1131">
        <v>4</v>
      </c>
      <c r="E1131" t="s">
        <v>24</v>
      </c>
      <c r="F1131" t="s">
        <v>52</v>
      </c>
      <c r="G1131" t="s">
        <v>32</v>
      </c>
      <c r="H1131" s="1">
        <v>45577</v>
      </c>
      <c r="I1131" t="s">
        <v>1297</v>
      </c>
      <c r="J1131" t="s">
        <v>34</v>
      </c>
      <c r="K1131" t="s">
        <v>75</v>
      </c>
      <c r="L1131" s="3">
        <f>IF(Sales_Table[[#This Row],[Revenue]]=0,0,Sales_Table[[#This Row],[Revenue]]/Sales_Table[[#This Row],[Profit]])</f>
        <v>60.96</v>
      </c>
    </row>
    <row r="1132" spans="1:12" x14ac:dyDescent="0.5">
      <c r="A1132" t="s">
        <v>1298</v>
      </c>
      <c r="B1132">
        <v>4314</v>
      </c>
      <c r="C1132">
        <v>1591</v>
      </c>
      <c r="D1132">
        <v>5</v>
      </c>
      <c r="E1132" t="s">
        <v>36</v>
      </c>
      <c r="F1132" t="s">
        <v>37</v>
      </c>
      <c r="G1132" t="s">
        <v>26</v>
      </c>
      <c r="H1132" s="1">
        <v>44473</v>
      </c>
      <c r="I1132" t="s">
        <v>1299</v>
      </c>
      <c r="J1132" t="s">
        <v>20</v>
      </c>
      <c r="K1132" t="s">
        <v>21</v>
      </c>
      <c r="L1132" s="3">
        <f>IF(Sales_Table[[#This Row],[Revenue]]=0,0,Sales_Table[[#This Row],[Revenue]]/Sales_Table[[#This Row],[Profit]])</f>
        <v>2.711502199874293</v>
      </c>
    </row>
    <row r="1133" spans="1:12" x14ac:dyDescent="0.5">
      <c r="A1133" t="s">
        <v>1300</v>
      </c>
      <c r="B1133">
        <v>8851</v>
      </c>
      <c r="C1133">
        <v>999</v>
      </c>
      <c r="D1133">
        <v>12</v>
      </c>
      <c r="E1133" t="s">
        <v>10</v>
      </c>
      <c r="F1133" t="s">
        <v>31</v>
      </c>
      <c r="G1133" t="s">
        <v>12</v>
      </c>
      <c r="H1133" s="1">
        <v>45329</v>
      </c>
      <c r="I1133" t="s">
        <v>1301</v>
      </c>
      <c r="J1133" t="s">
        <v>79</v>
      </c>
      <c r="K1133" t="s">
        <v>86</v>
      </c>
      <c r="L1133" s="3">
        <f>IF(Sales_Table[[#This Row],[Revenue]]=0,0,Sales_Table[[#This Row],[Revenue]]/Sales_Table[[#This Row],[Profit]])</f>
        <v>8.8598598598598599</v>
      </c>
    </row>
    <row r="1134" spans="1:12" x14ac:dyDescent="0.5">
      <c r="A1134" t="s">
        <v>1302</v>
      </c>
      <c r="B1134">
        <v>544</v>
      </c>
      <c r="C1134">
        <v>272</v>
      </c>
      <c r="D1134">
        <v>2</v>
      </c>
      <c r="E1134" t="s">
        <v>10</v>
      </c>
      <c r="F1134" t="s">
        <v>31</v>
      </c>
      <c r="G1134" t="s">
        <v>26</v>
      </c>
      <c r="H1134" s="1">
        <v>44260</v>
      </c>
      <c r="I1134" t="s">
        <v>1303</v>
      </c>
      <c r="J1134" t="s">
        <v>59</v>
      </c>
      <c r="K1134" t="s">
        <v>108</v>
      </c>
      <c r="L1134" s="3">
        <f>IF(Sales_Table[[#This Row],[Revenue]]=0,0,Sales_Table[[#This Row],[Revenue]]/Sales_Table[[#This Row],[Profit]])</f>
        <v>2</v>
      </c>
    </row>
    <row r="1135" spans="1:12" x14ac:dyDescent="0.5">
      <c r="A1135" t="s">
        <v>1302</v>
      </c>
      <c r="B1135">
        <v>544</v>
      </c>
      <c r="C1135">
        <v>272</v>
      </c>
      <c r="D1135">
        <v>2</v>
      </c>
      <c r="E1135" t="s">
        <v>10</v>
      </c>
      <c r="F1135" t="s">
        <v>31</v>
      </c>
      <c r="G1135" t="s">
        <v>26</v>
      </c>
      <c r="H1135" s="1">
        <v>45102</v>
      </c>
      <c r="I1135" t="s">
        <v>1304</v>
      </c>
      <c r="J1135" t="s">
        <v>20</v>
      </c>
      <c r="K1135" t="s">
        <v>21</v>
      </c>
      <c r="L1135" s="3">
        <f>IF(Sales_Table[[#This Row],[Revenue]]=0,0,Sales_Table[[#This Row],[Revenue]]/Sales_Table[[#This Row],[Profit]])</f>
        <v>2</v>
      </c>
    </row>
    <row r="1136" spans="1:12" x14ac:dyDescent="0.5">
      <c r="A1136" t="s">
        <v>1305</v>
      </c>
      <c r="B1136">
        <v>537</v>
      </c>
      <c r="C1136">
        <v>142</v>
      </c>
      <c r="D1136">
        <v>20</v>
      </c>
      <c r="E1136" t="s">
        <v>24</v>
      </c>
      <c r="F1136" t="s">
        <v>46</v>
      </c>
      <c r="G1136" t="s">
        <v>32</v>
      </c>
      <c r="H1136" s="1">
        <v>44410</v>
      </c>
      <c r="I1136" t="s">
        <v>1306</v>
      </c>
      <c r="J1136" t="s">
        <v>17</v>
      </c>
      <c r="K1136" t="s">
        <v>134</v>
      </c>
      <c r="L1136" s="3">
        <f>IF(Sales_Table[[#This Row],[Revenue]]=0,0,Sales_Table[[#This Row],[Revenue]]/Sales_Table[[#This Row],[Profit]])</f>
        <v>3.7816901408450705</v>
      </c>
    </row>
    <row r="1137" spans="1:12" x14ac:dyDescent="0.5">
      <c r="A1137" t="s">
        <v>1307</v>
      </c>
      <c r="B1137">
        <v>5944</v>
      </c>
      <c r="C1137">
        <v>2661</v>
      </c>
      <c r="D1137">
        <v>7</v>
      </c>
      <c r="E1137" t="s">
        <v>10</v>
      </c>
      <c r="F1137" t="s">
        <v>31</v>
      </c>
      <c r="G1137" t="s">
        <v>32</v>
      </c>
      <c r="H1137" s="1">
        <v>44637</v>
      </c>
      <c r="I1137" t="s">
        <v>1308</v>
      </c>
      <c r="J1137" t="s">
        <v>59</v>
      </c>
      <c r="K1137" t="s">
        <v>71</v>
      </c>
      <c r="L1137" s="3">
        <f>IF(Sales_Table[[#This Row],[Revenue]]=0,0,Sales_Table[[#This Row],[Revenue]]/Sales_Table[[#This Row],[Profit]])</f>
        <v>2.2337467117624952</v>
      </c>
    </row>
    <row r="1138" spans="1:12" x14ac:dyDescent="0.5">
      <c r="A1138" t="s">
        <v>1309</v>
      </c>
      <c r="B1138">
        <v>2258</v>
      </c>
      <c r="C1138">
        <v>135</v>
      </c>
      <c r="D1138">
        <v>18</v>
      </c>
      <c r="E1138" t="s">
        <v>10</v>
      </c>
      <c r="F1138" t="s">
        <v>22</v>
      </c>
      <c r="G1138" t="s">
        <v>38</v>
      </c>
      <c r="H1138" s="1">
        <v>45329</v>
      </c>
      <c r="I1138" t="s">
        <v>1310</v>
      </c>
      <c r="J1138" t="s">
        <v>14</v>
      </c>
      <c r="K1138" t="s">
        <v>15</v>
      </c>
      <c r="L1138" s="3">
        <f>IF(Sales_Table[[#This Row],[Revenue]]=0,0,Sales_Table[[#This Row],[Revenue]]/Sales_Table[[#This Row],[Profit]])</f>
        <v>16.725925925925925</v>
      </c>
    </row>
    <row r="1139" spans="1:12" x14ac:dyDescent="0.5">
      <c r="A1139" t="s">
        <v>1309</v>
      </c>
      <c r="B1139">
        <v>2258</v>
      </c>
      <c r="C1139">
        <v>135</v>
      </c>
      <c r="D1139">
        <v>18</v>
      </c>
      <c r="E1139" t="s">
        <v>10</v>
      </c>
      <c r="F1139" t="s">
        <v>22</v>
      </c>
      <c r="G1139" t="s">
        <v>38</v>
      </c>
      <c r="H1139" s="1">
        <v>44792</v>
      </c>
      <c r="I1139" t="s">
        <v>1311</v>
      </c>
      <c r="J1139" t="s">
        <v>34</v>
      </c>
      <c r="K1139" t="s">
        <v>62</v>
      </c>
      <c r="L1139" s="3">
        <f>IF(Sales_Table[[#This Row],[Revenue]]=0,0,Sales_Table[[#This Row],[Revenue]]/Sales_Table[[#This Row],[Profit]])</f>
        <v>16.725925925925925</v>
      </c>
    </row>
    <row r="1140" spans="1:12" x14ac:dyDescent="0.5">
      <c r="A1140" t="s">
        <v>1312</v>
      </c>
      <c r="B1140">
        <v>9609</v>
      </c>
      <c r="C1140">
        <v>4339</v>
      </c>
      <c r="D1140">
        <v>3</v>
      </c>
      <c r="E1140" t="s">
        <v>36</v>
      </c>
      <c r="F1140" t="s">
        <v>48</v>
      </c>
      <c r="G1140" t="s">
        <v>26</v>
      </c>
      <c r="H1140" s="1">
        <v>45554</v>
      </c>
      <c r="I1140" t="s">
        <v>1313</v>
      </c>
      <c r="J1140" t="s">
        <v>59</v>
      </c>
      <c r="K1140" t="s">
        <v>108</v>
      </c>
      <c r="L1140" s="3">
        <f>IF(Sales_Table[[#This Row],[Revenue]]=0,0,Sales_Table[[#This Row],[Revenue]]/Sales_Table[[#This Row],[Profit]])</f>
        <v>2.2145655681032497</v>
      </c>
    </row>
    <row r="1141" spans="1:12" x14ac:dyDescent="0.5">
      <c r="A1141" t="s">
        <v>1312</v>
      </c>
      <c r="B1141">
        <v>9609</v>
      </c>
      <c r="C1141">
        <v>4339</v>
      </c>
      <c r="D1141">
        <v>3</v>
      </c>
      <c r="E1141" t="s">
        <v>36</v>
      </c>
      <c r="F1141" t="s">
        <v>48</v>
      </c>
      <c r="G1141" t="s">
        <v>26</v>
      </c>
      <c r="H1141" s="1">
        <v>43926</v>
      </c>
      <c r="I1141" t="s">
        <v>1314</v>
      </c>
      <c r="J1141" t="s">
        <v>79</v>
      </c>
      <c r="K1141" t="s">
        <v>86</v>
      </c>
      <c r="L1141" s="3">
        <f>IF(Sales_Table[[#This Row],[Revenue]]=0,0,Sales_Table[[#This Row],[Revenue]]/Sales_Table[[#This Row],[Profit]])</f>
        <v>2.2145655681032497</v>
      </c>
    </row>
    <row r="1142" spans="1:12" x14ac:dyDescent="0.5">
      <c r="A1142" t="s">
        <v>1315</v>
      </c>
      <c r="B1142">
        <v>9952</v>
      </c>
      <c r="C1142">
        <v>3301</v>
      </c>
      <c r="D1142">
        <v>15</v>
      </c>
      <c r="E1142" t="s">
        <v>10</v>
      </c>
      <c r="F1142" t="s">
        <v>11</v>
      </c>
      <c r="G1142" t="s">
        <v>26</v>
      </c>
      <c r="H1142" s="1">
        <v>44995</v>
      </c>
      <c r="I1142" t="s">
        <v>1316</v>
      </c>
      <c r="J1142" t="s">
        <v>59</v>
      </c>
      <c r="K1142" t="s">
        <v>60</v>
      </c>
      <c r="L1142" s="3">
        <f>IF(Sales_Table[[#This Row],[Revenue]]=0,0,Sales_Table[[#This Row],[Revenue]]/Sales_Table[[#This Row],[Profit]])</f>
        <v>3.014843986670706</v>
      </c>
    </row>
    <row r="1143" spans="1:12" x14ac:dyDescent="0.5">
      <c r="A1143" t="s">
        <v>1317</v>
      </c>
      <c r="B1143">
        <v>9873</v>
      </c>
      <c r="C1143">
        <v>4585</v>
      </c>
      <c r="D1143">
        <v>7</v>
      </c>
      <c r="E1143" t="s">
        <v>24</v>
      </c>
      <c r="F1143" t="s">
        <v>52</v>
      </c>
      <c r="G1143" t="s">
        <v>38</v>
      </c>
      <c r="H1143" s="1">
        <v>44053</v>
      </c>
      <c r="I1143" t="s">
        <v>1318</v>
      </c>
      <c r="J1143" t="s">
        <v>79</v>
      </c>
      <c r="K1143" t="s">
        <v>80</v>
      </c>
      <c r="L1143" s="3">
        <f>IF(Sales_Table[[#This Row],[Revenue]]=0,0,Sales_Table[[#This Row],[Revenue]]/Sales_Table[[#This Row],[Profit]])</f>
        <v>2.1533260632497275</v>
      </c>
    </row>
    <row r="1144" spans="1:12" x14ac:dyDescent="0.5">
      <c r="A1144" t="s">
        <v>1319</v>
      </c>
      <c r="B1144">
        <v>3560</v>
      </c>
      <c r="C1144">
        <v>1335</v>
      </c>
      <c r="D1144">
        <v>15</v>
      </c>
      <c r="E1144" t="s">
        <v>10</v>
      </c>
      <c r="F1144" t="s">
        <v>11</v>
      </c>
      <c r="G1144" t="s">
        <v>53</v>
      </c>
      <c r="H1144" s="1">
        <v>43950</v>
      </c>
      <c r="I1144" t="s">
        <v>1320</v>
      </c>
      <c r="J1144" t="s">
        <v>20</v>
      </c>
      <c r="K1144" t="s">
        <v>42</v>
      </c>
      <c r="L1144" s="3">
        <f>IF(Sales_Table[[#This Row],[Revenue]]=0,0,Sales_Table[[#This Row],[Revenue]]/Sales_Table[[#This Row],[Profit]])</f>
        <v>2.6666666666666665</v>
      </c>
    </row>
    <row r="1145" spans="1:12" x14ac:dyDescent="0.5">
      <c r="A1145" t="s">
        <v>1319</v>
      </c>
      <c r="B1145">
        <v>3560</v>
      </c>
      <c r="C1145">
        <v>1335</v>
      </c>
      <c r="D1145">
        <v>15</v>
      </c>
      <c r="E1145" t="s">
        <v>10</v>
      </c>
      <c r="F1145" t="s">
        <v>11</v>
      </c>
      <c r="G1145" t="s">
        <v>53</v>
      </c>
      <c r="H1145" s="1">
        <v>45001</v>
      </c>
      <c r="I1145" t="s">
        <v>1321</v>
      </c>
      <c r="J1145" t="s">
        <v>17</v>
      </c>
      <c r="K1145" t="s">
        <v>51</v>
      </c>
      <c r="L1145" s="3">
        <f>IF(Sales_Table[[#This Row],[Revenue]]=0,0,Sales_Table[[#This Row],[Revenue]]/Sales_Table[[#This Row],[Profit]])</f>
        <v>2.6666666666666665</v>
      </c>
    </row>
    <row r="1146" spans="1:12" x14ac:dyDescent="0.5">
      <c r="A1146" t="s">
        <v>1322</v>
      </c>
      <c r="B1146">
        <v>6528</v>
      </c>
      <c r="C1146">
        <v>76</v>
      </c>
      <c r="D1146">
        <v>9</v>
      </c>
      <c r="E1146" t="s">
        <v>10</v>
      </c>
      <c r="F1146" t="s">
        <v>67</v>
      </c>
      <c r="G1146" t="s">
        <v>26</v>
      </c>
      <c r="H1146" s="1">
        <v>43955</v>
      </c>
      <c r="I1146" t="s">
        <v>1323</v>
      </c>
      <c r="J1146" t="s">
        <v>20</v>
      </c>
      <c r="K1146" t="s">
        <v>21</v>
      </c>
      <c r="L1146" s="3">
        <f>IF(Sales_Table[[#This Row],[Revenue]]=0,0,Sales_Table[[#This Row],[Revenue]]/Sales_Table[[#This Row],[Profit]])</f>
        <v>85.89473684210526</v>
      </c>
    </row>
    <row r="1147" spans="1:12" x14ac:dyDescent="0.5">
      <c r="A1147" t="s">
        <v>1322</v>
      </c>
      <c r="B1147">
        <v>8930</v>
      </c>
      <c r="C1147">
        <v>3374</v>
      </c>
      <c r="D1147">
        <v>12</v>
      </c>
      <c r="E1147" t="s">
        <v>36</v>
      </c>
      <c r="F1147" t="s">
        <v>48</v>
      </c>
      <c r="G1147" t="s">
        <v>26</v>
      </c>
      <c r="H1147" s="1">
        <v>43955</v>
      </c>
      <c r="I1147" t="s">
        <v>1323</v>
      </c>
      <c r="J1147" t="s">
        <v>20</v>
      </c>
      <c r="K1147" t="s">
        <v>21</v>
      </c>
      <c r="L1147" s="3">
        <f>IF(Sales_Table[[#This Row],[Revenue]]=0,0,Sales_Table[[#This Row],[Revenue]]/Sales_Table[[#This Row],[Profit]])</f>
        <v>2.6467101363366923</v>
      </c>
    </row>
    <row r="1148" spans="1:12" x14ac:dyDescent="0.5">
      <c r="A1148" t="s">
        <v>1324</v>
      </c>
      <c r="B1148">
        <v>4521</v>
      </c>
      <c r="C1148">
        <v>1778</v>
      </c>
      <c r="D1148">
        <v>9</v>
      </c>
      <c r="E1148" t="s">
        <v>24</v>
      </c>
      <c r="F1148" t="s">
        <v>52</v>
      </c>
      <c r="G1148" t="s">
        <v>26</v>
      </c>
      <c r="H1148" s="1">
        <v>45580</v>
      </c>
      <c r="I1148" t="s">
        <v>1325</v>
      </c>
      <c r="J1148" t="s">
        <v>14</v>
      </c>
      <c r="K1148" t="s">
        <v>118</v>
      </c>
      <c r="L1148" s="3">
        <f>IF(Sales_Table[[#This Row],[Revenue]]=0,0,Sales_Table[[#This Row],[Revenue]]/Sales_Table[[#This Row],[Profit]])</f>
        <v>2.5427446569178853</v>
      </c>
    </row>
    <row r="1149" spans="1:12" x14ac:dyDescent="0.5">
      <c r="A1149" t="s">
        <v>1326</v>
      </c>
      <c r="B1149">
        <v>7091</v>
      </c>
      <c r="C1149">
        <v>2317</v>
      </c>
      <c r="D1149">
        <v>10</v>
      </c>
      <c r="E1149" t="s">
        <v>36</v>
      </c>
      <c r="F1149" t="s">
        <v>48</v>
      </c>
      <c r="G1149" t="s">
        <v>38</v>
      </c>
      <c r="H1149" s="1">
        <v>44721</v>
      </c>
      <c r="I1149" t="s">
        <v>1327</v>
      </c>
      <c r="J1149" t="s">
        <v>34</v>
      </c>
      <c r="K1149" t="s">
        <v>62</v>
      </c>
      <c r="L1149" s="3">
        <f>IF(Sales_Table[[#This Row],[Revenue]]=0,0,Sales_Table[[#This Row],[Revenue]]/Sales_Table[[#This Row],[Profit]])</f>
        <v>3.0604229607250755</v>
      </c>
    </row>
    <row r="1150" spans="1:12" x14ac:dyDescent="0.5">
      <c r="A1150" t="s">
        <v>1328</v>
      </c>
      <c r="B1150">
        <v>2101</v>
      </c>
      <c r="C1150">
        <v>287</v>
      </c>
      <c r="D1150">
        <v>8</v>
      </c>
      <c r="E1150" t="s">
        <v>24</v>
      </c>
      <c r="F1150" t="s">
        <v>25</v>
      </c>
      <c r="G1150" t="s">
        <v>53</v>
      </c>
      <c r="H1150" s="1">
        <v>44016</v>
      </c>
      <c r="I1150" t="s">
        <v>639</v>
      </c>
      <c r="J1150" t="s">
        <v>79</v>
      </c>
      <c r="K1150" t="s">
        <v>94</v>
      </c>
      <c r="L1150" s="3">
        <f>IF(Sales_Table[[#This Row],[Revenue]]=0,0,Sales_Table[[#This Row],[Revenue]]/Sales_Table[[#This Row],[Profit]])</f>
        <v>7.3205574912891986</v>
      </c>
    </row>
    <row r="1151" spans="1:12" x14ac:dyDescent="0.5">
      <c r="A1151" t="s">
        <v>1328</v>
      </c>
      <c r="B1151">
        <v>2101</v>
      </c>
      <c r="C1151">
        <v>287</v>
      </c>
      <c r="D1151">
        <v>8</v>
      </c>
      <c r="E1151" t="s">
        <v>24</v>
      </c>
      <c r="F1151" t="s">
        <v>25</v>
      </c>
      <c r="G1151" t="s">
        <v>53</v>
      </c>
      <c r="H1151" s="1">
        <v>45025</v>
      </c>
      <c r="I1151" t="s">
        <v>1329</v>
      </c>
      <c r="J1151" t="s">
        <v>17</v>
      </c>
      <c r="K1151" t="s">
        <v>18</v>
      </c>
      <c r="L1151" s="3">
        <f>IF(Sales_Table[[#This Row],[Revenue]]=0,0,Sales_Table[[#This Row],[Revenue]]/Sales_Table[[#This Row],[Profit]])</f>
        <v>7.3205574912891986</v>
      </c>
    </row>
    <row r="1152" spans="1:12" x14ac:dyDescent="0.5">
      <c r="A1152" t="s">
        <v>1330</v>
      </c>
      <c r="B1152">
        <v>8644</v>
      </c>
      <c r="C1152">
        <v>1968</v>
      </c>
      <c r="D1152">
        <v>9</v>
      </c>
      <c r="E1152" t="s">
        <v>24</v>
      </c>
      <c r="F1152" t="s">
        <v>52</v>
      </c>
      <c r="G1152" t="s">
        <v>26</v>
      </c>
      <c r="H1152" s="1">
        <v>45254</v>
      </c>
      <c r="I1152" t="s">
        <v>1331</v>
      </c>
      <c r="J1152" t="s">
        <v>17</v>
      </c>
      <c r="K1152" t="s">
        <v>18</v>
      </c>
      <c r="L1152" s="3">
        <f>IF(Sales_Table[[#This Row],[Revenue]]=0,0,Sales_Table[[#This Row],[Revenue]]/Sales_Table[[#This Row],[Profit]])</f>
        <v>4.3922764227642279</v>
      </c>
    </row>
    <row r="1153" spans="1:12" x14ac:dyDescent="0.5">
      <c r="A1153" t="s">
        <v>1332</v>
      </c>
      <c r="B1153">
        <v>6672</v>
      </c>
      <c r="C1153">
        <v>3319</v>
      </c>
      <c r="D1153">
        <v>4</v>
      </c>
      <c r="E1153" t="s">
        <v>36</v>
      </c>
      <c r="F1153" t="s">
        <v>37</v>
      </c>
      <c r="G1153" t="s">
        <v>12</v>
      </c>
      <c r="H1153" s="1">
        <v>45259</v>
      </c>
      <c r="I1153" t="s">
        <v>1333</v>
      </c>
      <c r="J1153" t="s">
        <v>59</v>
      </c>
      <c r="K1153" t="s">
        <v>60</v>
      </c>
      <c r="L1153" s="3">
        <f>IF(Sales_Table[[#This Row],[Revenue]]=0,0,Sales_Table[[#This Row],[Revenue]]/Sales_Table[[#This Row],[Profit]])</f>
        <v>2.0102440494124738</v>
      </c>
    </row>
    <row r="1154" spans="1:12" x14ac:dyDescent="0.5">
      <c r="A1154" t="s">
        <v>1332</v>
      </c>
      <c r="B1154">
        <v>6672</v>
      </c>
      <c r="C1154">
        <v>3319</v>
      </c>
      <c r="D1154">
        <v>4</v>
      </c>
      <c r="E1154" t="s">
        <v>36</v>
      </c>
      <c r="F1154" t="s">
        <v>37</v>
      </c>
      <c r="G1154" t="s">
        <v>12</v>
      </c>
      <c r="H1154" s="1">
        <v>45432</v>
      </c>
      <c r="I1154" t="s">
        <v>1334</v>
      </c>
      <c r="J1154" t="s">
        <v>34</v>
      </c>
      <c r="K1154" t="s">
        <v>62</v>
      </c>
      <c r="L1154" s="3">
        <f>IF(Sales_Table[[#This Row],[Revenue]]=0,0,Sales_Table[[#This Row],[Revenue]]/Sales_Table[[#This Row],[Profit]])</f>
        <v>2.0102440494124738</v>
      </c>
    </row>
    <row r="1155" spans="1:12" x14ac:dyDescent="0.5">
      <c r="A1155" t="s">
        <v>1335</v>
      </c>
      <c r="B1155">
        <v>4699</v>
      </c>
      <c r="C1155">
        <v>103</v>
      </c>
      <c r="D1155">
        <v>12</v>
      </c>
      <c r="E1155" t="s">
        <v>24</v>
      </c>
      <c r="F1155" t="s">
        <v>64</v>
      </c>
      <c r="G1155" t="s">
        <v>12</v>
      </c>
      <c r="H1155" s="1">
        <v>45433</v>
      </c>
      <c r="I1155" t="s">
        <v>1336</v>
      </c>
      <c r="J1155" t="s">
        <v>79</v>
      </c>
      <c r="K1155" t="s">
        <v>86</v>
      </c>
      <c r="L1155" s="3">
        <f>IF(Sales_Table[[#This Row],[Revenue]]=0,0,Sales_Table[[#This Row],[Revenue]]/Sales_Table[[#This Row],[Profit]])</f>
        <v>45.621359223300971</v>
      </c>
    </row>
    <row r="1156" spans="1:12" x14ac:dyDescent="0.5">
      <c r="A1156" t="s">
        <v>1337</v>
      </c>
      <c r="B1156">
        <v>4897</v>
      </c>
      <c r="C1156">
        <v>1001</v>
      </c>
      <c r="D1156">
        <v>14</v>
      </c>
      <c r="E1156" t="s">
        <v>36</v>
      </c>
      <c r="F1156" t="s">
        <v>48</v>
      </c>
      <c r="G1156" t="s">
        <v>26</v>
      </c>
      <c r="H1156" s="1">
        <v>44537</v>
      </c>
      <c r="I1156" t="s">
        <v>1338</v>
      </c>
      <c r="J1156" t="s">
        <v>59</v>
      </c>
      <c r="K1156" t="s">
        <v>108</v>
      </c>
      <c r="L1156" s="3">
        <f>IF(Sales_Table[[#This Row],[Revenue]]=0,0,Sales_Table[[#This Row],[Revenue]]/Sales_Table[[#This Row],[Profit]])</f>
        <v>4.8921078921078918</v>
      </c>
    </row>
    <row r="1157" spans="1:12" x14ac:dyDescent="0.5">
      <c r="A1157" t="s">
        <v>1337</v>
      </c>
      <c r="B1157">
        <v>4897</v>
      </c>
      <c r="C1157">
        <v>1001</v>
      </c>
      <c r="D1157">
        <v>14</v>
      </c>
      <c r="E1157" t="s">
        <v>36</v>
      </c>
      <c r="F1157" t="s">
        <v>48</v>
      </c>
      <c r="G1157" t="s">
        <v>26</v>
      </c>
      <c r="H1157" s="1">
        <v>45663</v>
      </c>
      <c r="I1157" t="s">
        <v>1339</v>
      </c>
      <c r="J1157" t="s">
        <v>79</v>
      </c>
      <c r="K1157" t="s">
        <v>86</v>
      </c>
      <c r="L1157" s="3">
        <f>IF(Sales_Table[[#This Row],[Revenue]]=0,0,Sales_Table[[#This Row],[Revenue]]/Sales_Table[[#This Row],[Profit]])</f>
        <v>4.8921078921078918</v>
      </c>
    </row>
    <row r="1158" spans="1:12" x14ac:dyDescent="0.5">
      <c r="A1158" t="s">
        <v>1340</v>
      </c>
      <c r="B1158">
        <v>5460</v>
      </c>
      <c r="C1158">
        <v>2088</v>
      </c>
      <c r="D1158">
        <v>14</v>
      </c>
      <c r="E1158" t="s">
        <v>36</v>
      </c>
      <c r="F1158" t="s">
        <v>37</v>
      </c>
      <c r="G1158" t="s">
        <v>26</v>
      </c>
      <c r="H1158" s="1">
        <v>44755</v>
      </c>
      <c r="I1158" t="s">
        <v>1341</v>
      </c>
      <c r="J1158" t="s">
        <v>20</v>
      </c>
      <c r="K1158" t="s">
        <v>21</v>
      </c>
      <c r="L1158" s="3">
        <f>IF(Sales_Table[[#This Row],[Revenue]]=0,0,Sales_Table[[#This Row],[Revenue]]/Sales_Table[[#This Row],[Profit]])</f>
        <v>2.6149425287356323</v>
      </c>
    </row>
    <row r="1159" spans="1:12" x14ac:dyDescent="0.5">
      <c r="A1159" t="s">
        <v>1340</v>
      </c>
      <c r="B1159">
        <v>5460</v>
      </c>
      <c r="C1159">
        <v>2088</v>
      </c>
      <c r="D1159">
        <v>14</v>
      </c>
      <c r="E1159" t="s">
        <v>36</v>
      </c>
      <c r="F1159" t="s">
        <v>37</v>
      </c>
      <c r="G1159" t="s">
        <v>26</v>
      </c>
      <c r="H1159" s="1">
        <v>43940</v>
      </c>
      <c r="I1159" t="s">
        <v>1342</v>
      </c>
      <c r="J1159" t="s">
        <v>79</v>
      </c>
      <c r="K1159" t="s">
        <v>86</v>
      </c>
      <c r="L1159" s="3">
        <f>IF(Sales_Table[[#This Row],[Revenue]]=0,0,Sales_Table[[#This Row],[Revenue]]/Sales_Table[[#This Row],[Profit]])</f>
        <v>2.6149425287356323</v>
      </c>
    </row>
    <row r="1160" spans="1:12" x14ac:dyDescent="0.5">
      <c r="A1160" t="s">
        <v>1343</v>
      </c>
      <c r="B1160">
        <v>9272</v>
      </c>
      <c r="C1160">
        <v>1771</v>
      </c>
      <c r="D1160">
        <v>19</v>
      </c>
      <c r="E1160" t="s">
        <v>24</v>
      </c>
      <c r="F1160" t="s">
        <v>46</v>
      </c>
      <c r="G1160" t="s">
        <v>12</v>
      </c>
      <c r="H1160" s="1">
        <v>45610</v>
      </c>
      <c r="I1160" t="s">
        <v>1344</v>
      </c>
      <c r="J1160" t="s">
        <v>17</v>
      </c>
      <c r="K1160" t="s">
        <v>51</v>
      </c>
      <c r="L1160" s="3">
        <f>IF(Sales_Table[[#This Row],[Revenue]]=0,0,Sales_Table[[#This Row],[Revenue]]/Sales_Table[[#This Row],[Profit]])</f>
        <v>5.2354601919819315</v>
      </c>
    </row>
    <row r="1161" spans="1:12" x14ac:dyDescent="0.5">
      <c r="A1161" t="s">
        <v>1343</v>
      </c>
      <c r="B1161">
        <v>9272</v>
      </c>
      <c r="C1161">
        <v>1771</v>
      </c>
      <c r="D1161">
        <v>19</v>
      </c>
      <c r="E1161" t="s">
        <v>24</v>
      </c>
      <c r="F1161" t="s">
        <v>46</v>
      </c>
      <c r="G1161" t="s">
        <v>12</v>
      </c>
      <c r="H1161" s="1">
        <v>43939</v>
      </c>
      <c r="I1161" t="s">
        <v>1345</v>
      </c>
      <c r="J1161" t="s">
        <v>59</v>
      </c>
      <c r="K1161" t="s">
        <v>60</v>
      </c>
      <c r="L1161" s="3">
        <f>IF(Sales_Table[[#This Row],[Revenue]]=0,0,Sales_Table[[#This Row],[Revenue]]/Sales_Table[[#This Row],[Profit]])</f>
        <v>5.2354601919819315</v>
      </c>
    </row>
    <row r="1162" spans="1:12" x14ac:dyDescent="0.5">
      <c r="A1162" t="s">
        <v>1346</v>
      </c>
      <c r="B1162">
        <v>7870</v>
      </c>
      <c r="C1162">
        <v>1057</v>
      </c>
      <c r="D1162">
        <v>15</v>
      </c>
      <c r="E1162" t="s">
        <v>24</v>
      </c>
      <c r="F1162" t="s">
        <v>25</v>
      </c>
      <c r="G1162" t="s">
        <v>38</v>
      </c>
      <c r="H1162" s="1">
        <v>45217</v>
      </c>
      <c r="I1162" t="s">
        <v>1347</v>
      </c>
      <c r="J1162" t="s">
        <v>59</v>
      </c>
      <c r="K1162" t="s">
        <v>108</v>
      </c>
      <c r="L1162" s="3">
        <f>IF(Sales_Table[[#This Row],[Revenue]]=0,0,Sales_Table[[#This Row],[Revenue]]/Sales_Table[[#This Row],[Profit]])</f>
        <v>7.4456007568590348</v>
      </c>
    </row>
    <row r="1163" spans="1:12" x14ac:dyDescent="0.5">
      <c r="A1163" t="s">
        <v>1346</v>
      </c>
      <c r="B1163">
        <v>7870</v>
      </c>
      <c r="C1163">
        <v>1057</v>
      </c>
      <c r="D1163">
        <v>15</v>
      </c>
      <c r="E1163" t="s">
        <v>24</v>
      </c>
      <c r="F1163" t="s">
        <v>25</v>
      </c>
      <c r="G1163" t="s">
        <v>38</v>
      </c>
      <c r="H1163" s="1">
        <v>44276</v>
      </c>
      <c r="I1163" t="s">
        <v>1348</v>
      </c>
      <c r="J1163" t="s">
        <v>79</v>
      </c>
      <c r="K1163" t="s">
        <v>94</v>
      </c>
      <c r="L1163" s="3">
        <f>IF(Sales_Table[[#This Row],[Revenue]]=0,0,Sales_Table[[#This Row],[Revenue]]/Sales_Table[[#This Row],[Profit]])</f>
        <v>7.4456007568590348</v>
      </c>
    </row>
    <row r="1164" spans="1:12" x14ac:dyDescent="0.5">
      <c r="A1164" t="s">
        <v>1349</v>
      </c>
      <c r="B1164">
        <v>7992</v>
      </c>
      <c r="C1164">
        <v>893</v>
      </c>
      <c r="D1164">
        <v>12</v>
      </c>
      <c r="E1164" t="s">
        <v>10</v>
      </c>
      <c r="F1164" t="s">
        <v>31</v>
      </c>
      <c r="G1164" t="s">
        <v>38</v>
      </c>
      <c r="H1164" s="1">
        <v>45548</v>
      </c>
      <c r="I1164" t="s">
        <v>1350</v>
      </c>
      <c r="J1164" t="s">
        <v>79</v>
      </c>
      <c r="K1164" t="s">
        <v>94</v>
      </c>
      <c r="L1164" s="3">
        <f>IF(Sales_Table[[#This Row],[Revenue]]=0,0,Sales_Table[[#This Row],[Revenue]]/Sales_Table[[#This Row],[Profit]])</f>
        <v>8.9496080627099666</v>
      </c>
    </row>
    <row r="1165" spans="1:12" x14ac:dyDescent="0.5">
      <c r="A1165" t="s">
        <v>1349</v>
      </c>
      <c r="B1165">
        <v>7992</v>
      </c>
      <c r="C1165">
        <v>893</v>
      </c>
      <c r="D1165">
        <v>12</v>
      </c>
      <c r="E1165" t="s">
        <v>10</v>
      </c>
      <c r="F1165" t="s">
        <v>31</v>
      </c>
      <c r="G1165" t="s">
        <v>38</v>
      </c>
      <c r="H1165" s="1">
        <v>45050</v>
      </c>
      <c r="I1165" t="s">
        <v>1351</v>
      </c>
      <c r="J1165" t="s">
        <v>20</v>
      </c>
      <c r="K1165" t="s">
        <v>42</v>
      </c>
      <c r="L1165" s="3">
        <f>IF(Sales_Table[[#This Row],[Revenue]]=0,0,Sales_Table[[#This Row],[Revenue]]/Sales_Table[[#This Row],[Profit]])</f>
        <v>8.9496080627099666</v>
      </c>
    </row>
    <row r="1166" spans="1:12" x14ac:dyDescent="0.5">
      <c r="A1166" t="s">
        <v>1349</v>
      </c>
      <c r="B1166">
        <v>7992</v>
      </c>
      <c r="C1166">
        <v>893</v>
      </c>
      <c r="D1166">
        <v>12</v>
      </c>
      <c r="E1166" t="s">
        <v>10</v>
      </c>
      <c r="F1166" t="s">
        <v>31</v>
      </c>
      <c r="G1166" t="s">
        <v>38</v>
      </c>
      <c r="H1166" s="1">
        <v>45077</v>
      </c>
      <c r="I1166" t="s">
        <v>1352</v>
      </c>
      <c r="J1166" t="s">
        <v>17</v>
      </c>
      <c r="K1166" t="s">
        <v>18</v>
      </c>
      <c r="L1166" s="3">
        <f>IF(Sales_Table[[#This Row],[Revenue]]=0,0,Sales_Table[[#This Row],[Revenue]]/Sales_Table[[#This Row],[Profit]])</f>
        <v>8.9496080627099666</v>
      </c>
    </row>
    <row r="1167" spans="1:12" x14ac:dyDescent="0.5">
      <c r="A1167" t="s">
        <v>1353</v>
      </c>
      <c r="B1167">
        <v>6499</v>
      </c>
      <c r="C1167">
        <v>2189</v>
      </c>
      <c r="D1167">
        <v>18</v>
      </c>
      <c r="E1167" t="s">
        <v>10</v>
      </c>
      <c r="F1167" t="s">
        <v>11</v>
      </c>
      <c r="G1167" t="s">
        <v>32</v>
      </c>
      <c r="H1167" s="1">
        <v>45458</v>
      </c>
      <c r="I1167" t="s">
        <v>1354</v>
      </c>
      <c r="J1167" t="s">
        <v>20</v>
      </c>
      <c r="K1167" t="s">
        <v>42</v>
      </c>
      <c r="L1167" s="3">
        <f>IF(Sales_Table[[#This Row],[Revenue]]=0,0,Sales_Table[[#This Row],[Revenue]]/Sales_Table[[#This Row],[Profit]])</f>
        <v>2.9689355870260394</v>
      </c>
    </row>
    <row r="1168" spans="1:12" x14ac:dyDescent="0.5">
      <c r="A1168" t="s">
        <v>1353</v>
      </c>
      <c r="B1168">
        <v>6499</v>
      </c>
      <c r="C1168">
        <v>2189</v>
      </c>
      <c r="D1168">
        <v>18</v>
      </c>
      <c r="E1168" t="s">
        <v>10</v>
      </c>
      <c r="F1168" t="s">
        <v>11</v>
      </c>
      <c r="G1168" t="s">
        <v>32</v>
      </c>
      <c r="H1168" s="1">
        <v>44289</v>
      </c>
      <c r="I1168" t="s">
        <v>1355</v>
      </c>
      <c r="J1168" t="s">
        <v>14</v>
      </c>
      <c r="K1168" t="s">
        <v>28</v>
      </c>
      <c r="L1168" s="3">
        <f>IF(Sales_Table[[#This Row],[Revenue]]=0,0,Sales_Table[[#This Row],[Revenue]]/Sales_Table[[#This Row],[Profit]])</f>
        <v>2.9689355870260394</v>
      </c>
    </row>
    <row r="1169" spans="1:12" x14ac:dyDescent="0.5">
      <c r="A1169" t="s">
        <v>1356</v>
      </c>
      <c r="B1169">
        <v>8848</v>
      </c>
      <c r="C1169">
        <v>2090</v>
      </c>
      <c r="D1169">
        <v>9</v>
      </c>
      <c r="E1169" t="s">
        <v>24</v>
      </c>
      <c r="F1169" t="s">
        <v>25</v>
      </c>
      <c r="G1169" t="s">
        <v>26</v>
      </c>
      <c r="H1169" s="1">
        <v>45671</v>
      </c>
      <c r="I1169" t="s">
        <v>1357</v>
      </c>
      <c r="J1169" t="s">
        <v>34</v>
      </c>
      <c r="K1169" t="s">
        <v>62</v>
      </c>
      <c r="L1169" s="3">
        <f>IF(Sales_Table[[#This Row],[Revenue]]=0,0,Sales_Table[[#This Row],[Revenue]]/Sales_Table[[#This Row],[Profit]])</f>
        <v>4.2334928229665074</v>
      </c>
    </row>
    <row r="1170" spans="1:12" x14ac:dyDescent="0.5">
      <c r="A1170" t="s">
        <v>1358</v>
      </c>
      <c r="B1170">
        <v>8044</v>
      </c>
      <c r="C1170">
        <v>3634</v>
      </c>
      <c r="D1170">
        <v>3</v>
      </c>
      <c r="E1170" t="s">
        <v>24</v>
      </c>
      <c r="F1170" t="s">
        <v>46</v>
      </c>
      <c r="G1170" t="s">
        <v>53</v>
      </c>
      <c r="H1170" s="1">
        <v>44189</v>
      </c>
      <c r="I1170" t="s">
        <v>1359</v>
      </c>
      <c r="J1170" t="s">
        <v>14</v>
      </c>
      <c r="K1170" t="s">
        <v>28</v>
      </c>
      <c r="L1170" s="3">
        <f>IF(Sales_Table[[#This Row],[Revenue]]=0,0,Sales_Table[[#This Row],[Revenue]]/Sales_Table[[#This Row],[Profit]])</f>
        <v>2.2135388002201433</v>
      </c>
    </row>
    <row r="1171" spans="1:12" x14ac:dyDescent="0.5">
      <c r="A1171" t="s">
        <v>1358</v>
      </c>
      <c r="B1171">
        <v>8044</v>
      </c>
      <c r="C1171">
        <v>3634</v>
      </c>
      <c r="D1171">
        <v>3</v>
      </c>
      <c r="E1171" t="s">
        <v>24</v>
      </c>
      <c r="F1171" t="s">
        <v>46</v>
      </c>
      <c r="G1171" t="s">
        <v>53</v>
      </c>
      <c r="H1171" s="1">
        <v>44841</v>
      </c>
      <c r="I1171" t="s">
        <v>1360</v>
      </c>
      <c r="J1171" t="s">
        <v>34</v>
      </c>
      <c r="K1171" t="s">
        <v>62</v>
      </c>
      <c r="L1171" s="3">
        <f>IF(Sales_Table[[#This Row],[Revenue]]=0,0,Sales_Table[[#This Row],[Revenue]]/Sales_Table[[#This Row],[Profit]])</f>
        <v>2.2135388002201433</v>
      </c>
    </row>
    <row r="1172" spans="1:12" x14ac:dyDescent="0.5">
      <c r="A1172" t="s">
        <v>1361</v>
      </c>
      <c r="B1172">
        <v>7417</v>
      </c>
      <c r="C1172">
        <v>1334</v>
      </c>
      <c r="D1172">
        <v>16</v>
      </c>
      <c r="E1172" t="s">
        <v>36</v>
      </c>
      <c r="F1172" t="s">
        <v>87</v>
      </c>
      <c r="G1172" t="s">
        <v>53</v>
      </c>
      <c r="H1172" s="1">
        <v>44474</v>
      </c>
      <c r="I1172" t="s">
        <v>1362</v>
      </c>
      <c r="J1172" t="s">
        <v>14</v>
      </c>
      <c r="K1172" t="s">
        <v>118</v>
      </c>
      <c r="L1172" s="3">
        <f>IF(Sales_Table[[#This Row],[Revenue]]=0,0,Sales_Table[[#This Row],[Revenue]]/Sales_Table[[#This Row],[Profit]])</f>
        <v>5.559970014992504</v>
      </c>
    </row>
    <row r="1173" spans="1:12" x14ac:dyDescent="0.5">
      <c r="A1173" t="s">
        <v>1363</v>
      </c>
      <c r="B1173">
        <v>3451</v>
      </c>
      <c r="C1173">
        <v>658</v>
      </c>
      <c r="D1173">
        <v>3</v>
      </c>
      <c r="E1173" t="s">
        <v>24</v>
      </c>
      <c r="F1173" t="s">
        <v>46</v>
      </c>
      <c r="G1173" t="s">
        <v>12</v>
      </c>
      <c r="H1173" s="1">
        <v>45654</v>
      </c>
      <c r="I1173" t="s">
        <v>1364</v>
      </c>
      <c r="J1173" t="s">
        <v>17</v>
      </c>
      <c r="K1173" t="s">
        <v>18</v>
      </c>
      <c r="L1173" s="3">
        <f>IF(Sales_Table[[#This Row],[Revenue]]=0,0,Sales_Table[[#This Row],[Revenue]]/Sales_Table[[#This Row],[Profit]])</f>
        <v>5.2446808510638299</v>
      </c>
    </row>
    <row r="1174" spans="1:12" x14ac:dyDescent="0.5">
      <c r="A1174" t="s">
        <v>1365</v>
      </c>
      <c r="B1174">
        <v>8531</v>
      </c>
      <c r="C1174">
        <v>2555</v>
      </c>
      <c r="D1174">
        <v>4</v>
      </c>
      <c r="E1174" t="s">
        <v>10</v>
      </c>
      <c r="F1174" t="s">
        <v>31</v>
      </c>
      <c r="G1174" t="s">
        <v>32</v>
      </c>
      <c r="H1174" s="1">
        <v>44695</v>
      </c>
      <c r="I1174" t="s">
        <v>1366</v>
      </c>
      <c r="J1174" t="s">
        <v>59</v>
      </c>
      <c r="K1174" t="s">
        <v>71</v>
      </c>
      <c r="L1174" s="3">
        <f>IF(Sales_Table[[#This Row],[Revenue]]=0,0,Sales_Table[[#This Row],[Revenue]]/Sales_Table[[#This Row],[Profit]])</f>
        <v>3.3389432485322894</v>
      </c>
    </row>
    <row r="1175" spans="1:12" x14ac:dyDescent="0.5">
      <c r="A1175" t="s">
        <v>1367</v>
      </c>
      <c r="B1175">
        <v>6646</v>
      </c>
      <c r="C1175">
        <v>848</v>
      </c>
      <c r="D1175">
        <v>15</v>
      </c>
      <c r="E1175" t="s">
        <v>36</v>
      </c>
      <c r="F1175" t="s">
        <v>48</v>
      </c>
      <c r="G1175" t="s">
        <v>26</v>
      </c>
      <c r="H1175" s="1">
        <v>45157</v>
      </c>
      <c r="I1175" t="s">
        <v>1368</v>
      </c>
      <c r="J1175" t="s">
        <v>20</v>
      </c>
      <c r="K1175" t="s">
        <v>42</v>
      </c>
      <c r="L1175" s="3">
        <f>IF(Sales_Table[[#This Row],[Revenue]]=0,0,Sales_Table[[#This Row],[Revenue]]/Sales_Table[[#This Row],[Profit]])</f>
        <v>7.8372641509433958</v>
      </c>
    </row>
    <row r="1176" spans="1:12" x14ac:dyDescent="0.5">
      <c r="A1176" t="s">
        <v>1367</v>
      </c>
      <c r="B1176">
        <v>6646</v>
      </c>
      <c r="C1176">
        <v>848</v>
      </c>
      <c r="D1176">
        <v>15</v>
      </c>
      <c r="E1176" t="s">
        <v>36</v>
      </c>
      <c r="F1176" t="s">
        <v>48</v>
      </c>
      <c r="G1176" t="s">
        <v>26</v>
      </c>
      <c r="H1176" s="1">
        <v>45121</v>
      </c>
      <c r="I1176" t="s">
        <v>1369</v>
      </c>
      <c r="J1176" t="s">
        <v>20</v>
      </c>
      <c r="K1176" t="s">
        <v>21</v>
      </c>
      <c r="L1176" s="3">
        <f>IF(Sales_Table[[#This Row],[Revenue]]=0,0,Sales_Table[[#This Row],[Revenue]]/Sales_Table[[#This Row],[Profit]])</f>
        <v>7.8372641509433958</v>
      </c>
    </row>
    <row r="1177" spans="1:12" x14ac:dyDescent="0.5">
      <c r="A1177" t="s">
        <v>1370</v>
      </c>
      <c r="B1177">
        <v>2553</v>
      </c>
      <c r="C1177">
        <v>907</v>
      </c>
      <c r="D1177">
        <v>6</v>
      </c>
      <c r="E1177" t="s">
        <v>10</v>
      </c>
      <c r="F1177" t="s">
        <v>31</v>
      </c>
      <c r="G1177" t="s">
        <v>38</v>
      </c>
      <c r="H1177" s="1">
        <v>45099</v>
      </c>
      <c r="I1177" t="s">
        <v>1371</v>
      </c>
      <c r="J1177" t="s">
        <v>59</v>
      </c>
      <c r="K1177" t="s">
        <v>60</v>
      </c>
      <c r="L1177" s="3">
        <f>IF(Sales_Table[[#This Row],[Revenue]]=0,0,Sales_Table[[#This Row],[Revenue]]/Sales_Table[[#This Row],[Profit]])</f>
        <v>2.8147739801543552</v>
      </c>
    </row>
    <row r="1178" spans="1:12" x14ac:dyDescent="0.5">
      <c r="A1178" t="s">
        <v>1372</v>
      </c>
      <c r="B1178">
        <v>8490</v>
      </c>
      <c r="C1178">
        <v>3485</v>
      </c>
      <c r="D1178">
        <v>3</v>
      </c>
      <c r="E1178" t="s">
        <v>10</v>
      </c>
      <c r="F1178" t="s">
        <v>67</v>
      </c>
      <c r="G1178" t="s">
        <v>38</v>
      </c>
      <c r="H1178" s="1">
        <v>45006</v>
      </c>
      <c r="I1178" t="s">
        <v>1373</v>
      </c>
      <c r="J1178" t="s">
        <v>20</v>
      </c>
      <c r="K1178" t="s">
        <v>42</v>
      </c>
      <c r="L1178" s="3">
        <f>IF(Sales_Table[[#This Row],[Revenue]]=0,0,Sales_Table[[#This Row],[Revenue]]/Sales_Table[[#This Row],[Profit]])</f>
        <v>2.4361549497847919</v>
      </c>
    </row>
    <row r="1179" spans="1:12" x14ac:dyDescent="0.5">
      <c r="A1179" t="s">
        <v>1374</v>
      </c>
      <c r="B1179">
        <v>2689</v>
      </c>
      <c r="C1179">
        <v>1330</v>
      </c>
      <c r="D1179">
        <v>3</v>
      </c>
      <c r="E1179" t="s">
        <v>36</v>
      </c>
      <c r="F1179" t="s">
        <v>37</v>
      </c>
      <c r="G1179" t="s">
        <v>12</v>
      </c>
      <c r="H1179" s="1">
        <v>44178</v>
      </c>
      <c r="I1179" t="s">
        <v>1375</v>
      </c>
      <c r="J1179" t="s">
        <v>34</v>
      </c>
      <c r="K1179" t="s">
        <v>35</v>
      </c>
      <c r="L1179" s="3">
        <f>IF(Sales_Table[[#This Row],[Revenue]]=0,0,Sales_Table[[#This Row],[Revenue]]/Sales_Table[[#This Row],[Profit]])</f>
        <v>2.0218045112781953</v>
      </c>
    </row>
    <row r="1180" spans="1:12" x14ac:dyDescent="0.5">
      <c r="A1180" t="s">
        <v>1374</v>
      </c>
      <c r="B1180">
        <v>2689</v>
      </c>
      <c r="C1180">
        <v>1330</v>
      </c>
      <c r="D1180">
        <v>3</v>
      </c>
      <c r="E1180" t="s">
        <v>36</v>
      </c>
      <c r="F1180" t="s">
        <v>37</v>
      </c>
      <c r="G1180" t="s">
        <v>12</v>
      </c>
      <c r="H1180" s="1">
        <v>45441</v>
      </c>
      <c r="I1180" t="s">
        <v>1376</v>
      </c>
      <c r="J1180" t="s">
        <v>14</v>
      </c>
      <c r="K1180" t="s">
        <v>15</v>
      </c>
      <c r="L1180" s="3">
        <f>IF(Sales_Table[[#This Row],[Revenue]]=0,0,Sales_Table[[#This Row],[Revenue]]/Sales_Table[[#This Row],[Profit]])</f>
        <v>2.0218045112781953</v>
      </c>
    </row>
    <row r="1181" spans="1:12" x14ac:dyDescent="0.5">
      <c r="A1181" t="s">
        <v>1377</v>
      </c>
      <c r="B1181">
        <v>815</v>
      </c>
      <c r="C1181">
        <v>54</v>
      </c>
      <c r="D1181">
        <v>14</v>
      </c>
      <c r="E1181" t="s">
        <v>36</v>
      </c>
      <c r="F1181" t="s">
        <v>37</v>
      </c>
      <c r="G1181" t="s">
        <v>26</v>
      </c>
      <c r="H1181" s="1">
        <v>44341</v>
      </c>
      <c r="I1181" t="s">
        <v>1378</v>
      </c>
      <c r="J1181" t="s">
        <v>34</v>
      </c>
      <c r="K1181" t="s">
        <v>75</v>
      </c>
      <c r="L1181" s="3">
        <f>IF(Sales_Table[[#This Row],[Revenue]]=0,0,Sales_Table[[#This Row],[Revenue]]/Sales_Table[[#This Row],[Profit]])</f>
        <v>15.092592592592593</v>
      </c>
    </row>
    <row r="1182" spans="1:12" x14ac:dyDescent="0.5">
      <c r="A1182" t="s">
        <v>1379</v>
      </c>
      <c r="B1182">
        <v>5024</v>
      </c>
      <c r="C1182">
        <v>379</v>
      </c>
      <c r="D1182">
        <v>2</v>
      </c>
      <c r="E1182" t="s">
        <v>24</v>
      </c>
      <c r="F1182" t="s">
        <v>52</v>
      </c>
      <c r="G1182" t="s">
        <v>12</v>
      </c>
      <c r="H1182" s="1">
        <v>45384</v>
      </c>
      <c r="I1182" t="s">
        <v>1380</v>
      </c>
      <c r="J1182" t="s">
        <v>59</v>
      </c>
      <c r="K1182" t="s">
        <v>60</v>
      </c>
      <c r="L1182" s="3">
        <f>IF(Sales_Table[[#This Row],[Revenue]]=0,0,Sales_Table[[#This Row],[Revenue]]/Sales_Table[[#This Row],[Profit]])</f>
        <v>13.255936675461742</v>
      </c>
    </row>
    <row r="1183" spans="1:12" x14ac:dyDescent="0.5">
      <c r="A1183" t="s">
        <v>1379</v>
      </c>
      <c r="B1183">
        <v>5024</v>
      </c>
      <c r="C1183">
        <v>379</v>
      </c>
      <c r="D1183">
        <v>2</v>
      </c>
      <c r="E1183" t="s">
        <v>24</v>
      </c>
      <c r="F1183" t="s">
        <v>52</v>
      </c>
      <c r="G1183" t="s">
        <v>12</v>
      </c>
      <c r="H1183" s="1">
        <v>44898</v>
      </c>
      <c r="I1183" t="s">
        <v>1381</v>
      </c>
      <c r="J1183" t="s">
        <v>17</v>
      </c>
      <c r="K1183" t="s">
        <v>134</v>
      </c>
      <c r="L1183" s="3">
        <f>IF(Sales_Table[[#This Row],[Revenue]]=0,0,Sales_Table[[#This Row],[Revenue]]/Sales_Table[[#This Row],[Profit]])</f>
        <v>13.255936675461742</v>
      </c>
    </row>
    <row r="1184" spans="1:12" x14ac:dyDescent="0.5">
      <c r="A1184" t="s">
        <v>1382</v>
      </c>
      <c r="B1184">
        <v>8962</v>
      </c>
      <c r="C1184">
        <v>2444</v>
      </c>
      <c r="D1184">
        <v>18</v>
      </c>
      <c r="E1184" t="s">
        <v>10</v>
      </c>
      <c r="F1184" t="s">
        <v>11</v>
      </c>
      <c r="G1184" t="s">
        <v>26</v>
      </c>
      <c r="H1184" s="1">
        <v>44389</v>
      </c>
      <c r="I1184" t="s">
        <v>1383</v>
      </c>
      <c r="J1184" t="s">
        <v>79</v>
      </c>
      <c r="K1184" t="s">
        <v>94</v>
      </c>
      <c r="L1184" s="3">
        <f>IF(Sales_Table[[#This Row],[Revenue]]=0,0,Sales_Table[[#This Row],[Revenue]]/Sales_Table[[#This Row],[Profit]])</f>
        <v>3.6669394435351883</v>
      </c>
    </row>
    <row r="1185" spans="1:12" x14ac:dyDescent="0.5">
      <c r="A1185" t="s">
        <v>1382</v>
      </c>
      <c r="B1185">
        <v>8962</v>
      </c>
      <c r="C1185">
        <v>2444</v>
      </c>
      <c r="D1185">
        <v>18</v>
      </c>
      <c r="E1185" t="s">
        <v>10</v>
      </c>
      <c r="F1185" t="s">
        <v>11</v>
      </c>
      <c r="G1185" t="s">
        <v>26</v>
      </c>
      <c r="H1185" s="1">
        <v>43912</v>
      </c>
      <c r="I1185" t="s">
        <v>1384</v>
      </c>
      <c r="J1185" t="s">
        <v>17</v>
      </c>
      <c r="K1185" t="s">
        <v>134</v>
      </c>
      <c r="L1185" s="3">
        <f>IF(Sales_Table[[#This Row],[Revenue]]=0,0,Sales_Table[[#This Row],[Revenue]]/Sales_Table[[#This Row],[Profit]])</f>
        <v>3.6669394435351883</v>
      </c>
    </row>
    <row r="1186" spans="1:12" x14ac:dyDescent="0.5">
      <c r="A1186" t="s">
        <v>1385</v>
      </c>
      <c r="B1186">
        <v>1961</v>
      </c>
      <c r="C1186">
        <v>59</v>
      </c>
      <c r="D1186">
        <v>12</v>
      </c>
      <c r="E1186" t="s">
        <v>24</v>
      </c>
      <c r="F1186" t="s">
        <v>64</v>
      </c>
      <c r="G1186" t="s">
        <v>12</v>
      </c>
      <c r="H1186" s="1">
        <v>44052</v>
      </c>
      <c r="I1186" t="s">
        <v>1386</v>
      </c>
      <c r="J1186" t="s">
        <v>14</v>
      </c>
      <c r="K1186" t="s">
        <v>28</v>
      </c>
      <c r="L1186" s="3">
        <f>IF(Sales_Table[[#This Row],[Revenue]]=0,0,Sales_Table[[#This Row],[Revenue]]/Sales_Table[[#This Row],[Profit]])</f>
        <v>33.237288135593218</v>
      </c>
    </row>
    <row r="1187" spans="1:12" x14ac:dyDescent="0.5">
      <c r="A1187" t="s">
        <v>1387</v>
      </c>
      <c r="B1187">
        <v>526</v>
      </c>
      <c r="C1187">
        <v>83</v>
      </c>
      <c r="D1187">
        <v>4</v>
      </c>
      <c r="E1187" t="s">
        <v>36</v>
      </c>
      <c r="F1187" t="s">
        <v>48</v>
      </c>
      <c r="G1187" t="s">
        <v>38</v>
      </c>
      <c r="H1187" s="1">
        <v>44610</v>
      </c>
      <c r="I1187" t="s">
        <v>1388</v>
      </c>
      <c r="J1187" t="s">
        <v>17</v>
      </c>
      <c r="K1187" t="s">
        <v>18</v>
      </c>
      <c r="L1187" s="3">
        <f>IF(Sales_Table[[#This Row],[Revenue]]=0,0,Sales_Table[[#This Row],[Revenue]]/Sales_Table[[#This Row],[Profit]])</f>
        <v>6.3373493975903612</v>
      </c>
    </row>
    <row r="1188" spans="1:12" x14ac:dyDescent="0.5">
      <c r="A1188" t="s">
        <v>1389</v>
      </c>
      <c r="B1188">
        <v>6093</v>
      </c>
      <c r="C1188">
        <v>3042</v>
      </c>
      <c r="D1188">
        <v>9</v>
      </c>
      <c r="E1188" t="s">
        <v>36</v>
      </c>
      <c r="F1188" t="s">
        <v>87</v>
      </c>
      <c r="G1188" t="s">
        <v>26</v>
      </c>
      <c r="H1188" s="1">
        <v>44361</v>
      </c>
      <c r="I1188" t="s">
        <v>1390</v>
      </c>
      <c r="J1188" t="s">
        <v>34</v>
      </c>
      <c r="K1188" t="s">
        <v>75</v>
      </c>
      <c r="L1188" s="3">
        <f>IF(Sales_Table[[#This Row],[Revenue]]=0,0,Sales_Table[[#This Row],[Revenue]]/Sales_Table[[#This Row],[Profit]])</f>
        <v>2.0029585798816569</v>
      </c>
    </row>
    <row r="1189" spans="1:12" x14ac:dyDescent="0.5">
      <c r="A1189" t="s">
        <v>1389</v>
      </c>
      <c r="B1189">
        <v>6093</v>
      </c>
      <c r="C1189">
        <v>3042</v>
      </c>
      <c r="D1189">
        <v>9</v>
      </c>
      <c r="E1189" t="s">
        <v>36</v>
      </c>
      <c r="F1189" t="s">
        <v>87</v>
      </c>
      <c r="G1189" t="s">
        <v>26</v>
      </c>
      <c r="H1189" s="1">
        <v>44256</v>
      </c>
      <c r="I1189" t="s">
        <v>1391</v>
      </c>
      <c r="J1189" t="s">
        <v>34</v>
      </c>
      <c r="K1189" t="s">
        <v>62</v>
      </c>
      <c r="L1189" s="3">
        <f>IF(Sales_Table[[#This Row],[Revenue]]=0,0,Sales_Table[[#This Row],[Revenue]]/Sales_Table[[#This Row],[Profit]])</f>
        <v>2.0029585798816569</v>
      </c>
    </row>
    <row r="1190" spans="1:12" x14ac:dyDescent="0.5">
      <c r="A1190" t="s">
        <v>1392</v>
      </c>
      <c r="B1190">
        <v>7699</v>
      </c>
      <c r="C1190">
        <v>246</v>
      </c>
      <c r="D1190">
        <v>5</v>
      </c>
      <c r="E1190" t="s">
        <v>10</v>
      </c>
      <c r="F1190" t="s">
        <v>11</v>
      </c>
      <c r="G1190" t="s">
        <v>26</v>
      </c>
      <c r="H1190" s="1">
        <v>45192</v>
      </c>
      <c r="I1190" t="s">
        <v>1393</v>
      </c>
      <c r="J1190" t="s">
        <v>59</v>
      </c>
      <c r="K1190" t="s">
        <v>71</v>
      </c>
      <c r="L1190" s="3">
        <f>IF(Sales_Table[[#This Row],[Revenue]]=0,0,Sales_Table[[#This Row],[Revenue]]/Sales_Table[[#This Row],[Profit]])</f>
        <v>31.296747967479675</v>
      </c>
    </row>
    <row r="1191" spans="1:12" x14ac:dyDescent="0.5">
      <c r="A1191" t="s">
        <v>1394</v>
      </c>
      <c r="B1191">
        <v>8825</v>
      </c>
      <c r="C1191">
        <v>3594</v>
      </c>
      <c r="D1191">
        <v>15</v>
      </c>
      <c r="E1191" t="s">
        <v>36</v>
      </c>
      <c r="F1191" t="s">
        <v>37</v>
      </c>
      <c r="G1191" t="s">
        <v>26</v>
      </c>
      <c r="H1191" s="1">
        <v>45504</v>
      </c>
      <c r="I1191" t="s">
        <v>1395</v>
      </c>
      <c r="J1191" t="s">
        <v>20</v>
      </c>
      <c r="K1191" t="s">
        <v>42</v>
      </c>
      <c r="L1191" s="3">
        <f>IF(Sales_Table[[#This Row],[Revenue]]=0,0,Sales_Table[[#This Row],[Revenue]]/Sales_Table[[#This Row],[Profit]])</f>
        <v>2.4554813578185866</v>
      </c>
    </row>
    <row r="1192" spans="1:12" x14ac:dyDescent="0.5">
      <c r="A1192" t="s">
        <v>1396</v>
      </c>
      <c r="B1192">
        <v>2082</v>
      </c>
      <c r="C1192">
        <v>642</v>
      </c>
      <c r="D1192">
        <v>8</v>
      </c>
      <c r="E1192" t="s">
        <v>10</v>
      </c>
      <c r="F1192" t="s">
        <v>67</v>
      </c>
      <c r="G1192" t="s">
        <v>32</v>
      </c>
      <c r="H1192" s="1">
        <v>43984</v>
      </c>
      <c r="I1192" t="s">
        <v>1397</v>
      </c>
      <c r="J1192" t="s">
        <v>20</v>
      </c>
      <c r="K1192" t="s">
        <v>56</v>
      </c>
      <c r="L1192" s="3">
        <f>IF(Sales_Table[[#This Row],[Revenue]]=0,0,Sales_Table[[#This Row],[Revenue]]/Sales_Table[[#This Row],[Profit]])</f>
        <v>3.2429906542056073</v>
      </c>
    </row>
    <row r="1193" spans="1:12" x14ac:dyDescent="0.5">
      <c r="A1193" t="s">
        <v>1396</v>
      </c>
      <c r="B1193">
        <v>2082</v>
      </c>
      <c r="C1193">
        <v>642</v>
      </c>
      <c r="D1193">
        <v>8</v>
      </c>
      <c r="E1193" t="s">
        <v>10</v>
      </c>
      <c r="F1193" t="s">
        <v>67</v>
      </c>
      <c r="G1193" t="s">
        <v>32</v>
      </c>
      <c r="H1193" s="1">
        <v>44910</v>
      </c>
      <c r="I1193" t="s">
        <v>1398</v>
      </c>
      <c r="J1193" t="s">
        <v>59</v>
      </c>
      <c r="K1193" t="s">
        <v>71</v>
      </c>
      <c r="L1193" s="3">
        <f>IF(Sales_Table[[#This Row],[Revenue]]=0,0,Sales_Table[[#This Row],[Revenue]]/Sales_Table[[#This Row],[Profit]])</f>
        <v>3.2429906542056073</v>
      </c>
    </row>
    <row r="1194" spans="1:12" x14ac:dyDescent="0.5">
      <c r="A1194" t="s">
        <v>1396</v>
      </c>
      <c r="B1194">
        <v>2082</v>
      </c>
      <c r="C1194">
        <v>642</v>
      </c>
      <c r="D1194">
        <v>8</v>
      </c>
      <c r="E1194" t="s">
        <v>10</v>
      </c>
      <c r="F1194" t="s">
        <v>67</v>
      </c>
      <c r="G1194" t="s">
        <v>32</v>
      </c>
      <c r="H1194" s="1">
        <v>44050</v>
      </c>
      <c r="I1194" t="s">
        <v>1399</v>
      </c>
      <c r="J1194" t="s">
        <v>20</v>
      </c>
      <c r="K1194" t="s">
        <v>21</v>
      </c>
      <c r="L1194" s="3">
        <f>IF(Sales_Table[[#This Row],[Revenue]]=0,0,Sales_Table[[#This Row],[Revenue]]/Sales_Table[[#This Row],[Profit]])</f>
        <v>3.2429906542056073</v>
      </c>
    </row>
    <row r="1195" spans="1:12" x14ac:dyDescent="0.5">
      <c r="A1195" t="s">
        <v>1400</v>
      </c>
      <c r="B1195">
        <v>914</v>
      </c>
      <c r="C1195">
        <v>163</v>
      </c>
      <c r="D1195">
        <v>13</v>
      </c>
      <c r="E1195" t="s">
        <v>24</v>
      </c>
      <c r="F1195" t="s">
        <v>46</v>
      </c>
      <c r="G1195" t="s">
        <v>12</v>
      </c>
      <c r="H1195" s="1">
        <v>45591</v>
      </c>
      <c r="I1195" t="s">
        <v>1401</v>
      </c>
      <c r="J1195" t="s">
        <v>17</v>
      </c>
      <c r="K1195" t="s">
        <v>18</v>
      </c>
      <c r="L1195" s="3">
        <f>IF(Sales_Table[[#This Row],[Revenue]]=0,0,Sales_Table[[#This Row],[Revenue]]/Sales_Table[[#This Row],[Profit]])</f>
        <v>5.6073619631901837</v>
      </c>
    </row>
    <row r="1196" spans="1:12" x14ac:dyDescent="0.5">
      <c r="A1196">
        <f>SUBTOTAL(103,Sales_Table[Order ID])</f>
        <v>1194</v>
      </c>
      <c r="B1196">
        <f>SUBTOTAL(109,Sales_Table[Revenue])</f>
        <v>6182639</v>
      </c>
      <c r="C1196">
        <f>SUBTOTAL(109,Sales_Table[Profit])</f>
        <v>1610697</v>
      </c>
      <c r="D1196">
        <f>SUBTOTAL(109,Sales_Table[Quantity])</f>
        <v>12745</v>
      </c>
      <c r="L1196" s="3">
        <f>SUBTOTAL(101,Sales_Table[Profit Margin %])</f>
        <v>7.3532628100795785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9B807-A761-428B-BA9D-5F30A3E3A1A5}">
  <dimension ref="A1:U788"/>
  <sheetViews>
    <sheetView topLeftCell="H1" zoomScale="80" zoomScaleNormal="80" workbookViewId="0">
      <selection activeCell="Q24" sqref="Q24"/>
    </sheetView>
  </sheetViews>
  <sheetFormatPr defaultRowHeight="18" x14ac:dyDescent="0.5"/>
  <cols>
    <col min="1" max="1" width="27.77734375" style="5" bestFit="1" customWidth="1"/>
    <col min="2" max="2" width="2.21875" style="5" customWidth="1"/>
    <col min="3" max="3" width="19.109375" style="5" bestFit="1" customWidth="1"/>
    <col min="4" max="4" width="2.88671875" style="5" customWidth="1"/>
    <col min="5" max="5" width="14.6640625" style="5" bestFit="1" customWidth="1"/>
    <col min="6" max="6" width="16.88671875" style="5" bestFit="1" customWidth="1"/>
    <col min="7" max="7" width="15.5546875" style="5" bestFit="1" customWidth="1"/>
    <col min="8" max="8" width="27.77734375" style="5" bestFit="1" customWidth="1"/>
    <col min="9" max="9" width="25.21875" style="5" bestFit="1" customWidth="1"/>
    <col min="10" max="10" width="16.88671875" style="5" customWidth="1"/>
    <col min="11" max="11" width="3.33203125" style="5" customWidth="1"/>
    <col min="12" max="12" width="14.6640625" style="5" bestFit="1" customWidth="1"/>
    <col min="13" max="13" width="16.88671875" style="5" bestFit="1" customWidth="1"/>
    <col min="14" max="14" width="2.77734375" style="5" customWidth="1"/>
    <col min="15" max="15" width="14.6640625" style="5" bestFit="1" customWidth="1"/>
    <col min="16" max="16" width="15.5546875" style="5" bestFit="1" customWidth="1"/>
    <col min="17" max="17" width="15.5546875" style="5" customWidth="1"/>
    <col min="18" max="767" width="15.5546875" style="5" bestFit="1" customWidth="1"/>
    <col min="768" max="768" width="10.5546875" style="5" bestFit="1" customWidth="1"/>
    <col min="769" max="16384" width="8.88671875" style="5"/>
  </cols>
  <sheetData>
    <row r="1" spans="1:21" x14ac:dyDescent="0.5">
      <c r="T1" t="s">
        <v>1422</v>
      </c>
      <c r="U1" s="13">
        <f>GETPIVOTDATA("Revenue",$L$3,"Months (Order Date)",1)</f>
        <v>392678</v>
      </c>
    </row>
    <row r="2" spans="1:21" x14ac:dyDescent="0.5">
      <c r="T2" t="s">
        <v>1423</v>
      </c>
      <c r="U2" s="13">
        <f>GETPIVOTDATA("Revenue",$L$3,"Months (Order Date)",2)</f>
        <v>450672</v>
      </c>
    </row>
    <row r="3" spans="1:21" x14ac:dyDescent="0.5">
      <c r="A3" s="5" t="s">
        <v>1405</v>
      </c>
      <c r="C3" s="5" t="s">
        <v>1412</v>
      </c>
      <c r="E3" s="11" t="s">
        <v>1411</v>
      </c>
      <c r="F3" s="5" t="s">
        <v>1405</v>
      </c>
      <c r="G3" s="5" t="s">
        <v>1406</v>
      </c>
      <c r="H3" s="5" t="s">
        <v>1409</v>
      </c>
      <c r="I3" s="5" t="s">
        <v>1435</v>
      </c>
      <c r="K3"/>
      <c r="L3" s="11" t="s">
        <v>1411</v>
      </c>
      <c r="M3" s="5" t="s">
        <v>1405</v>
      </c>
      <c r="N3"/>
      <c r="O3" s="11" t="s">
        <v>1411</v>
      </c>
      <c r="P3" s="5" t="s">
        <v>1406</v>
      </c>
      <c r="Q3"/>
      <c r="T3" t="s">
        <v>1424</v>
      </c>
      <c r="U3" s="13">
        <f>GETPIVOTDATA("Revenue",$L$3,"Months (Order Date)",3)</f>
        <v>497247</v>
      </c>
    </row>
    <row r="4" spans="1:21" x14ac:dyDescent="0.5">
      <c r="A4" s="6">
        <v>6182639</v>
      </c>
      <c r="C4" s="7">
        <f>GETPIVOTDATA("Revenue",$A$3)</f>
        <v>6182639</v>
      </c>
      <c r="E4" s="12" t="s">
        <v>34</v>
      </c>
      <c r="F4" s="6">
        <v>1086436</v>
      </c>
      <c r="G4" s="6">
        <v>278814</v>
      </c>
      <c r="H4" s="6">
        <v>6.4966508682912361</v>
      </c>
      <c r="I4" s="6">
        <v>1365250</v>
      </c>
      <c r="J4" s="6"/>
      <c r="K4"/>
      <c r="L4" s="12" t="s">
        <v>1422</v>
      </c>
      <c r="M4" s="6">
        <v>392678</v>
      </c>
      <c r="N4"/>
      <c r="O4" s="12" t="s">
        <v>10</v>
      </c>
      <c r="P4" s="6">
        <v>518580</v>
      </c>
      <c r="Q4"/>
      <c r="T4" t="s">
        <v>1425</v>
      </c>
      <c r="U4" s="13">
        <f>GETPIVOTDATA("Revenue",$L$3,"Months (Order Date)",4)</f>
        <v>567882</v>
      </c>
    </row>
    <row r="5" spans="1:21" x14ac:dyDescent="0.5">
      <c r="E5" s="12" t="s">
        <v>14</v>
      </c>
      <c r="F5" s="6">
        <v>1091174</v>
      </c>
      <c r="G5" s="6">
        <v>308706</v>
      </c>
      <c r="H5" s="6">
        <v>7.4269036127105119</v>
      </c>
      <c r="I5" s="6">
        <v>1399880</v>
      </c>
      <c r="J5" s="6"/>
      <c r="K5"/>
      <c r="L5" s="12" t="s">
        <v>1423</v>
      </c>
      <c r="M5" s="6">
        <v>450672</v>
      </c>
      <c r="N5"/>
      <c r="O5" s="12" t="s">
        <v>36</v>
      </c>
      <c r="P5" s="6">
        <v>540542</v>
      </c>
      <c r="Q5"/>
      <c r="T5" t="s">
        <v>1426</v>
      </c>
      <c r="U5" s="13">
        <f>GETPIVOTDATA("Revenue",$L$3,"Months (Order Date)",5)</f>
        <v>581943</v>
      </c>
    </row>
    <row r="6" spans="1:21" x14ac:dyDescent="0.5">
      <c r="A6" s="5" t="s">
        <v>1406</v>
      </c>
      <c r="C6" s="5" t="s">
        <v>1413</v>
      </c>
      <c r="E6" s="12" t="s">
        <v>17</v>
      </c>
      <c r="F6" s="6">
        <v>978738</v>
      </c>
      <c r="G6" s="6">
        <v>240372</v>
      </c>
      <c r="H6" s="6">
        <v>7.4493994580638834</v>
      </c>
      <c r="I6" s="6">
        <v>1219110</v>
      </c>
      <c r="J6" s="6"/>
      <c r="K6"/>
      <c r="L6" s="12" t="s">
        <v>1424</v>
      </c>
      <c r="M6" s="6">
        <v>497247</v>
      </c>
      <c r="N6"/>
      <c r="O6" s="12" t="s">
        <v>24</v>
      </c>
      <c r="P6" s="6">
        <v>551575</v>
      </c>
      <c r="Q6"/>
      <c r="T6" t="s">
        <v>1427</v>
      </c>
      <c r="U6" s="13">
        <f>GETPIVOTDATA("Revenue",$L$3,"Months (Order Date)",6)</f>
        <v>529028</v>
      </c>
    </row>
    <row r="7" spans="1:21" x14ac:dyDescent="0.5">
      <c r="A7" s="6">
        <v>1610697</v>
      </c>
      <c r="C7" s="7">
        <f>GETPIVOTDATA("Profit",$A$6)</f>
        <v>1610697</v>
      </c>
      <c r="E7" s="12" t="s">
        <v>20</v>
      </c>
      <c r="F7" s="6">
        <v>1130048</v>
      </c>
      <c r="G7" s="6">
        <v>308506</v>
      </c>
      <c r="H7" s="6">
        <v>7.2830786592860681</v>
      </c>
      <c r="I7" s="6">
        <v>1438554</v>
      </c>
      <c r="J7" s="6"/>
      <c r="K7"/>
      <c r="L7" s="12" t="s">
        <v>1425</v>
      </c>
      <c r="M7" s="6">
        <v>567882</v>
      </c>
      <c r="N7"/>
      <c r="O7" s="12" t="s">
        <v>1410</v>
      </c>
      <c r="P7" s="6">
        <v>1610697</v>
      </c>
      <c r="Q7"/>
      <c r="T7" t="s">
        <v>1428</v>
      </c>
      <c r="U7" s="13">
        <f>GETPIVOTDATA("Revenue",$L$3,"Months (Order Date)",7)</f>
        <v>497410</v>
      </c>
    </row>
    <row r="8" spans="1:21" x14ac:dyDescent="0.5">
      <c r="E8" s="12" t="s">
        <v>79</v>
      </c>
      <c r="F8" s="6">
        <v>884768</v>
      </c>
      <c r="G8" s="6">
        <v>216519</v>
      </c>
      <c r="H8" s="6">
        <v>9.2070732717674808</v>
      </c>
      <c r="I8" s="6">
        <v>1101287</v>
      </c>
      <c r="J8" s="6"/>
      <c r="K8"/>
      <c r="L8" s="12" t="s">
        <v>1426</v>
      </c>
      <c r="M8" s="6">
        <v>581943</v>
      </c>
      <c r="N8"/>
      <c r="O8"/>
      <c r="P8"/>
      <c r="T8" t="s">
        <v>1429</v>
      </c>
      <c r="U8" s="13">
        <f>GETPIVOTDATA("Revenue",$L$3,"Months (Order Date)",8)</f>
        <v>517830</v>
      </c>
    </row>
    <row r="9" spans="1:21" x14ac:dyDescent="0.5">
      <c r="A9" s="5" t="s">
        <v>1407</v>
      </c>
      <c r="C9" s="5" t="s">
        <v>1414</v>
      </c>
      <c r="E9" s="12" t="s">
        <v>59</v>
      </c>
      <c r="F9" s="6">
        <v>1011475</v>
      </c>
      <c r="G9" s="6">
        <v>257780</v>
      </c>
      <c r="H9" s="6">
        <v>6.4897085480373793</v>
      </c>
      <c r="I9" s="6">
        <v>1269255</v>
      </c>
      <c r="J9" s="6"/>
      <c r="K9"/>
      <c r="L9" s="12" t="s">
        <v>1427</v>
      </c>
      <c r="M9" s="6">
        <v>529028</v>
      </c>
      <c r="N9"/>
      <c r="O9" t="s">
        <v>34</v>
      </c>
      <c r="P9" s="13">
        <f>GETPIVOTDATA("Revenue",$E$3,"State","California")</f>
        <v>1086436</v>
      </c>
      <c r="Q9" s="7">
        <f>GETPIVOTDATA("Sum of Profit",$E$3,"State","California")</f>
        <v>278814</v>
      </c>
      <c r="R9" s="9">
        <f>GETPIVOTDATA("Average of Profit Margin %",$E$3,"State","California")</f>
        <v>6.4966508682912361</v>
      </c>
      <c r="T9" t="s">
        <v>1430</v>
      </c>
      <c r="U9" s="13">
        <f>GETPIVOTDATA("Revenue",$L$3,"Months (Order Date)",9)</f>
        <v>408236</v>
      </c>
    </row>
    <row r="10" spans="1:21" x14ac:dyDescent="0.5">
      <c r="A10" s="8">
        <v>1194</v>
      </c>
      <c r="C10" s="5">
        <f>GETPIVOTDATA("Order ID",$A$9)</f>
        <v>1194</v>
      </c>
      <c r="E10" s="12" t="s">
        <v>1410</v>
      </c>
      <c r="F10" s="6">
        <v>6182639</v>
      </c>
      <c r="G10" s="6">
        <v>1610697</v>
      </c>
      <c r="H10" s="6">
        <v>7.3532628100795883</v>
      </c>
      <c r="I10" s="6">
        <v>7793336</v>
      </c>
      <c r="J10" s="6"/>
      <c r="K10"/>
      <c r="L10" s="12" t="s">
        <v>1428</v>
      </c>
      <c r="M10" s="6">
        <v>497410</v>
      </c>
      <c r="N10"/>
      <c r="O10" t="s">
        <v>14</v>
      </c>
      <c r="P10" s="13">
        <f>GETPIVOTDATA("Revenue",$E$3,"State","Florida")</f>
        <v>1091174</v>
      </c>
      <c r="Q10" s="7">
        <f>GETPIVOTDATA("Sum of Profit",$E$3,"State","Florida")</f>
        <v>308706</v>
      </c>
      <c r="R10" s="9">
        <f>GETPIVOTDATA("Average of Profit Margin %",$E$3,"State","Florida")</f>
        <v>7.4269036127105119</v>
      </c>
      <c r="T10" t="s">
        <v>1431</v>
      </c>
      <c r="U10" s="13">
        <f>GETPIVOTDATA("Revenue",$L$3,"Months (Order Date)",10)</f>
        <v>632521</v>
      </c>
    </row>
    <row r="11" spans="1:21" x14ac:dyDescent="0.5">
      <c r="E11"/>
      <c r="F11"/>
      <c r="G11"/>
      <c r="H11"/>
      <c r="I11"/>
      <c r="J11"/>
      <c r="K11"/>
      <c r="L11" s="12" t="s">
        <v>1429</v>
      </c>
      <c r="M11" s="6">
        <v>517830</v>
      </c>
      <c r="N11"/>
      <c r="O11" t="s">
        <v>17</v>
      </c>
      <c r="P11" s="13">
        <f>GETPIVOTDATA("Revenue",$E$3,"State","Illinois")</f>
        <v>978738</v>
      </c>
      <c r="Q11" s="7">
        <f>GETPIVOTDATA("Sum of Profit",$E$3,"State","Illinois")</f>
        <v>240372</v>
      </c>
      <c r="R11" s="9">
        <f>GETPIVOTDATA("Average of Profit Margin %",$E$3,"State","Illinois")</f>
        <v>7.4493994580638834</v>
      </c>
      <c r="T11" t="s">
        <v>1432</v>
      </c>
      <c r="U11" s="13">
        <f>GETPIVOTDATA("Revenue",$L$3,"Months (Order Date)",11)</f>
        <v>451814</v>
      </c>
    </row>
    <row r="12" spans="1:21" x14ac:dyDescent="0.5">
      <c r="A12" s="5" t="s">
        <v>1409</v>
      </c>
      <c r="C12" s="5" t="s">
        <v>1415</v>
      </c>
      <c r="E12" s="11" t="s">
        <v>1411</v>
      </c>
      <c r="F12" s="5" t="s">
        <v>1405</v>
      </c>
      <c r="K12"/>
      <c r="L12" s="12" t="s">
        <v>1430</v>
      </c>
      <c r="M12" s="6">
        <v>408236</v>
      </c>
      <c r="N12"/>
      <c r="O12" t="s">
        <v>20</v>
      </c>
      <c r="P12" s="13">
        <f>GETPIVOTDATA("Revenue",$E$3,"State","New York")</f>
        <v>1130048</v>
      </c>
      <c r="Q12" s="7">
        <f>GETPIVOTDATA("Sum of Profit",$E$3,"State","New York")</f>
        <v>308506</v>
      </c>
      <c r="R12" s="9">
        <f>GETPIVOTDATA("Average of Profit Margin %",$E$3,"State","New York")</f>
        <v>7.2830786592860681</v>
      </c>
      <c r="T12" t="s">
        <v>1433</v>
      </c>
      <c r="U12" s="13">
        <f>GETPIVOTDATA("Revenue",$L$3,"Months (Order Date)",12)</f>
        <v>655378</v>
      </c>
    </row>
    <row r="13" spans="1:21" x14ac:dyDescent="0.5">
      <c r="A13" s="9">
        <v>7.3532628100795785</v>
      </c>
      <c r="C13" s="10" t="str">
        <f>ROUND(GETPIVOTDATA("Profit Margin %",$A$12),2)&amp;"%"</f>
        <v>7.35%</v>
      </c>
      <c r="E13" s="12" t="s">
        <v>1416</v>
      </c>
      <c r="F13" s="6">
        <v>859401</v>
      </c>
      <c r="G13" s="6"/>
      <c r="H13" s="6"/>
      <c r="I13" s="6"/>
      <c r="J13" s="6"/>
      <c r="K13"/>
      <c r="L13" s="12" t="s">
        <v>1431</v>
      </c>
      <c r="M13" s="6">
        <v>632521</v>
      </c>
      <c r="N13"/>
      <c r="O13" t="s">
        <v>79</v>
      </c>
      <c r="P13" s="13">
        <f>GETPIVOTDATA("Revenue",$E$3,"State","Ohio")</f>
        <v>884768</v>
      </c>
      <c r="Q13" s="7">
        <f>GETPIVOTDATA("Sum of Profit",$E$3,"State","Ohio")</f>
        <v>216519</v>
      </c>
      <c r="R13" s="9">
        <f>GETPIVOTDATA("Average of Profit Margin %",$E$3,"State","Ohio")</f>
        <v>9.2070732717674808</v>
      </c>
    </row>
    <row r="14" spans="1:21" x14ac:dyDescent="0.5">
      <c r="E14" s="12" t="s">
        <v>1417</v>
      </c>
      <c r="F14" s="6">
        <v>1181446</v>
      </c>
      <c r="G14" s="6"/>
      <c r="H14" s="6"/>
      <c r="I14" s="6"/>
      <c r="J14" s="6"/>
      <c r="K14"/>
      <c r="L14" s="12" t="s">
        <v>1432</v>
      </c>
      <c r="M14" s="6">
        <v>451814</v>
      </c>
      <c r="N14"/>
      <c r="O14" t="s">
        <v>59</v>
      </c>
      <c r="P14" s="13">
        <f>GETPIVOTDATA("Revenue",$E$3,"State","Texas")</f>
        <v>1011475</v>
      </c>
      <c r="Q14" s="7">
        <f>GETPIVOTDATA("Sum of Profit",$E$3,"State","Texas")</f>
        <v>257780</v>
      </c>
      <c r="R14" s="9">
        <f>GETPIVOTDATA("Average of Profit Margin %",$E$3,"State","Texas")</f>
        <v>6.4897085480373793</v>
      </c>
    </row>
    <row r="15" spans="1:21" x14ac:dyDescent="0.5">
      <c r="C15" s="5" t="s">
        <v>1434</v>
      </c>
      <c r="E15" s="12" t="s">
        <v>1418</v>
      </c>
      <c r="F15" s="6">
        <v>1459775</v>
      </c>
      <c r="G15" s="6"/>
      <c r="H15" s="6"/>
      <c r="I15" s="6"/>
      <c r="J15" s="6"/>
      <c r="K15"/>
      <c r="L15" s="12" t="s">
        <v>1433</v>
      </c>
      <c r="M15" s="6">
        <v>655378</v>
      </c>
      <c r="N15"/>
      <c r="O15"/>
      <c r="P15"/>
    </row>
    <row r="16" spans="1:21" x14ac:dyDescent="0.5">
      <c r="C16" s="7">
        <f>IF(C10=0,0,QUOTIENT(C4,C10))</f>
        <v>5178</v>
      </c>
      <c r="E16" s="12" t="s">
        <v>1419</v>
      </c>
      <c r="F16" s="6">
        <v>1229723</v>
      </c>
      <c r="G16" s="6"/>
      <c r="H16" s="6"/>
      <c r="I16" s="6"/>
      <c r="J16" s="6"/>
      <c r="K16"/>
      <c r="L16" s="12" t="s">
        <v>1410</v>
      </c>
      <c r="M16" s="6">
        <v>6182639</v>
      </c>
      <c r="N16"/>
      <c r="O16"/>
      <c r="P16"/>
    </row>
    <row r="17" spans="5:17" x14ac:dyDescent="0.5">
      <c r="E17" s="12" t="s">
        <v>1420</v>
      </c>
      <c r="F17" s="6">
        <v>1202478</v>
      </c>
      <c r="G17" s="6"/>
      <c r="H17" s="6"/>
      <c r="I17" s="6"/>
      <c r="J17" s="6"/>
      <c r="K17"/>
      <c r="L17"/>
      <c r="M17"/>
      <c r="N17"/>
      <c r="O17"/>
      <c r="P17"/>
    </row>
    <row r="18" spans="5:17" x14ac:dyDescent="0.5">
      <c r="E18" s="12" t="s">
        <v>1421</v>
      </c>
      <c r="F18" s="6">
        <v>249816</v>
      </c>
      <c r="G18" s="6"/>
      <c r="H18" s="6"/>
      <c r="I18" s="6"/>
      <c r="J18" s="6"/>
      <c r="K18"/>
      <c r="N18"/>
      <c r="O18"/>
      <c r="P18"/>
    </row>
    <row r="19" spans="5:17" x14ac:dyDescent="0.5">
      <c r="E19" s="12" t="s">
        <v>1410</v>
      </c>
      <c r="F19" s="6">
        <v>6182639</v>
      </c>
      <c r="G19" s="6"/>
      <c r="H19" s="6"/>
      <c r="I19" s="6"/>
      <c r="J19" s="6"/>
      <c r="K19"/>
      <c r="N19"/>
      <c r="O19"/>
      <c r="P19"/>
    </row>
    <row r="20" spans="5:17" x14ac:dyDescent="0.5">
      <c r="E20"/>
      <c r="F20"/>
      <c r="G20"/>
      <c r="H20"/>
      <c r="I20"/>
      <c r="J20"/>
      <c r="K20"/>
      <c r="N20"/>
      <c r="O20"/>
      <c r="P20"/>
    </row>
    <row r="21" spans="5:17" x14ac:dyDescent="0.5">
      <c r="E21"/>
      <c r="F21"/>
      <c r="G21"/>
      <c r="H21"/>
      <c r="I21"/>
      <c r="J21"/>
      <c r="K21"/>
      <c r="N21"/>
      <c r="O21"/>
      <c r="P21"/>
    </row>
    <row r="22" spans="5:17" x14ac:dyDescent="0.5">
      <c r="E22"/>
      <c r="F22" s="13"/>
      <c r="G22" s="13"/>
      <c r="H22" s="13"/>
      <c r="I22" s="13"/>
      <c r="J22" s="13"/>
      <c r="K22"/>
      <c r="N22"/>
      <c r="O22"/>
      <c r="P22"/>
    </row>
    <row r="23" spans="5:17" x14ac:dyDescent="0.5">
      <c r="E23"/>
      <c r="F23" s="13"/>
      <c r="G23" s="13"/>
      <c r="H23" s="13"/>
      <c r="I23" s="13"/>
      <c r="J23" s="13"/>
      <c r="K23"/>
      <c r="N23"/>
      <c r="O23"/>
      <c r="P23"/>
    </row>
    <row r="24" spans="5:17" x14ac:dyDescent="0.5">
      <c r="E24"/>
      <c r="F24" s="13"/>
      <c r="G24" s="13"/>
      <c r="H24" s="13"/>
      <c r="I24" s="13"/>
      <c r="J24" s="13"/>
      <c r="K24"/>
      <c r="N24"/>
      <c r="O24"/>
      <c r="P24"/>
      <c r="Q24" s="14"/>
    </row>
    <row r="25" spans="5:17" x14ac:dyDescent="0.5">
      <c r="E25"/>
      <c r="F25" s="13"/>
      <c r="G25" s="13"/>
      <c r="H25" s="13"/>
      <c r="I25" s="13"/>
      <c r="J25" s="13"/>
      <c r="K25"/>
      <c r="N25"/>
      <c r="O25"/>
      <c r="P25"/>
    </row>
    <row r="26" spans="5:17" x14ac:dyDescent="0.5">
      <c r="E26"/>
      <c r="F26" s="13"/>
      <c r="G26" s="13"/>
      <c r="H26" s="13"/>
      <c r="I26" s="13"/>
      <c r="J26" s="13"/>
      <c r="K26"/>
      <c r="N26"/>
      <c r="O26"/>
      <c r="P26"/>
    </row>
    <row r="27" spans="5:17" x14ac:dyDescent="0.5">
      <c r="E27"/>
      <c r="F27" s="13"/>
      <c r="G27" s="13"/>
      <c r="H27" s="13"/>
      <c r="I27" s="13"/>
      <c r="J27" s="13"/>
      <c r="K27"/>
      <c r="N27"/>
      <c r="O27"/>
      <c r="P27"/>
    </row>
    <row r="28" spans="5:17" x14ac:dyDescent="0.5">
      <c r="E28"/>
      <c r="F28"/>
      <c r="G28"/>
      <c r="H28"/>
      <c r="I28"/>
      <c r="J28"/>
      <c r="K28"/>
      <c r="N28"/>
      <c r="O28"/>
      <c r="P28"/>
    </row>
    <row r="29" spans="5:17" x14ac:dyDescent="0.5">
      <c r="E29"/>
      <c r="F29"/>
      <c r="G29"/>
      <c r="H29"/>
      <c r="I29"/>
      <c r="J29"/>
      <c r="K29"/>
      <c r="N29"/>
      <c r="O29"/>
      <c r="P29"/>
    </row>
    <row r="30" spans="5:17" x14ac:dyDescent="0.5">
      <c r="E30"/>
      <c r="F30"/>
      <c r="G30"/>
      <c r="H30"/>
      <c r="I30"/>
      <c r="J30"/>
      <c r="K30"/>
      <c r="L30"/>
      <c r="M30"/>
      <c r="N30"/>
      <c r="O30"/>
      <c r="P30"/>
    </row>
    <row r="31" spans="5:17" x14ac:dyDescent="0.5">
      <c r="E31"/>
      <c r="F31"/>
      <c r="G31"/>
      <c r="H31"/>
      <c r="I31"/>
      <c r="J31"/>
      <c r="K31"/>
      <c r="L31"/>
      <c r="M31"/>
      <c r="N31"/>
      <c r="O31"/>
      <c r="P31"/>
    </row>
    <row r="32" spans="5:17" x14ac:dyDescent="0.5">
      <c r="E32"/>
      <c r="F32"/>
      <c r="G32"/>
      <c r="H32"/>
      <c r="I32"/>
      <c r="J32"/>
      <c r="K32"/>
      <c r="L32"/>
      <c r="M32"/>
      <c r="N32"/>
      <c r="O32"/>
      <c r="P32"/>
    </row>
    <row r="33" spans="5:16" x14ac:dyDescent="0.5">
      <c r="E33"/>
      <c r="F33"/>
      <c r="G33"/>
      <c r="H33"/>
      <c r="I33"/>
      <c r="J33"/>
      <c r="K33"/>
      <c r="L33"/>
      <c r="M33"/>
      <c r="N33"/>
      <c r="O33"/>
      <c r="P33"/>
    </row>
    <row r="34" spans="5:16" x14ac:dyDescent="0.5">
      <c r="E34"/>
      <c r="F34"/>
      <c r="G34"/>
      <c r="H34"/>
      <c r="I34"/>
      <c r="J34"/>
      <c r="K34"/>
      <c r="L34"/>
      <c r="M34"/>
      <c r="N34"/>
      <c r="O34"/>
      <c r="P34"/>
    </row>
    <row r="35" spans="5:16" x14ac:dyDescent="0.5">
      <c r="E35"/>
      <c r="F35"/>
      <c r="G35"/>
      <c r="H35"/>
      <c r="I35"/>
      <c r="J35"/>
      <c r="K35"/>
      <c r="L35"/>
      <c r="M35"/>
      <c r="N35"/>
      <c r="O35"/>
      <c r="P35"/>
    </row>
    <row r="36" spans="5:16" x14ac:dyDescent="0.5">
      <c r="E36"/>
      <c r="F36"/>
      <c r="G36"/>
      <c r="H36"/>
      <c r="I36"/>
      <c r="J36"/>
      <c r="K36"/>
      <c r="L36"/>
      <c r="M36"/>
      <c r="N36"/>
      <c r="O36"/>
      <c r="P36"/>
    </row>
    <row r="37" spans="5:16" x14ac:dyDescent="0.5">
      <c r="E37"/>
      <c r="F37"/>
      <c r="G37"/>
      <c r="H37"/>
      <c r="I37"/>
      <c r="J37"/>
      <c r="K37"/>
      <c r="L37"/>
      <c r="M37"/>
      <c r="N37"/>
      <c r="O37"/>
      <c r="P37"/>
    </row>
    <row r="38" spans="5:16" x14ac:dyDescent="0.5">
      <c r="E38"/>
      <c r="F38"/>
      <c r="G38"/>
      <c r="H38"/>
      <c r="I38"/>
      <c r="J38"/>
      <c r="K38"/>
      <c r="L38"/>
      <c r="M38"/>
      <c r="N38"/>
      <c r="O38"/>
      <c r="P38"/>
    </row>
    <row r="39" spans="5:16" x14ac:dyDescent="0.5">
      <c r="E39"/>
      <c r="F39"/>
      <c r="G39"/>
      <c r="H39"/>
      <c r="I39"/>
      <c r="J39"/>
      <c r="K39"/>
      <c r="L39"/>
      <c r="M39"/>
      <c r="N39"/>
      <c r="O39"/>
      <c r="P39"/>
    </row>
    <row r="40" spans="5:16" x14ac:dyDescent="0.5">
      <c r="E40"/>
      <c r="F40"/>
      <c r="G40"/>
      <c r="H40"/>
      <c r="I40"/>
      <c r="J40"/>
      <c r="K40"/>
      <c r="L40"/>
      <c r="M40"/>
      <c r="N40"/>
      <c r="O40"/>
      <c r="P40"/>
    </row>
    <row r="41" spans="5:16" x14ac:dyDescent="0.5">
      <c r="E41"/>
      <c r="F41"/>
      <c r="G41"/>
      <c r="H41"/>
      <c r="I41"/>
      <c r="J41"/>
      <c r="K41"/>
      <c r="L41"/>
      <c r="M41"/>
      <c r="N41"/>
      <c r="O41"/>
      <c r="P41"/>
    </row>
    <row r="42" spans="5:16" x14ac:dyDescent="0.5">
      <c r="E42"/>
      <c r="F42"/>
      <c r="G42"/>
      <c r="H42"/>
      <c r="I42"/>
      <c r="J42"/>
      <c r="K42"/>
      <c r="L42"/>
      <c r="M42"/>
      <c r="N42"/>
      <c r="O42"/>
      <c r="P42"/>
    </row>
    <row r="43" spans="5:16" x14ac:dyDescent="0.5">
      <c r="E43"/>
      <c r="F43"/>
      <c r="G43"/>
      <c r="H43"/>
      <c r="I43"/>
      <c r="J43"/>
      <c r="K43"/>
      <c r="L43"/>
      <c r="M43"/>
      <c r="N43"/>
      <c r="O43"/>
      <c r="P43"/>
    </row>
    <row r="44" spans="5:16" x14ac:dyDescent="0.5">
      <c r="E44"/>
      <c r="F44"/>
      <c r="G44"/>
      <c r="H44"/>
      <c r="I44"/>
      <c r="J44"/>
      <c r="K44"/>
      <c r="L44"/>
      <c r="M44"/>
      <c r="N44"/>
      <c r="O44"/>
      <c r="P44"/>
    </row>
    <row r="45" spans="5:16" x14ac:dyDescent="0.5">
      <c r="E45"/>
      <c r="F45"/>
      <c r="G45"/>
      <c r="H45"/>
      <c r="I45"/>
      <c r="J45"/>
      <c r="K45"/>
      <c r="L45"/>
      <c r="M45"/>
      <c r="N45"/>
      <c r="O45"/>
      <c r="P45"/>
    </row>
    <row r="46" spans="5:16" x14ac:dyDescent="0.5">
      <c r="E46"/>
      <c r="F46"/>
      <c r="G46"/>
      <c r="H46"/>
      <c r="I46"/>
      <c r="J46"/>
      <c r="K46"/>
      <c r="L46"/>
      <c r="M46"/>
      <c r="N46"/>
      <c r="O46"/>
      <c r="P46"/>
    </row>
    <row r="47" spans="5:16" x14ac:dyDescent="0.5">
      <c r="E47"/>
      <c r="F47"/>
      <c r="G47"/>
      <c r="H47"/>
      <c r="I47"/>
      <c r="J47"/>
      <c r="K47"/>
      <c r="L47"/>
      <c r="M47"/>
      <c r="N47"/>
      <c r="O47"/>
      <c r="P47"/>
    </row>
    <row r="48" spans="5:16" x14ac:dyDescent="0.5">
      <c r="E48"/>
      <c r="F48"/>
      <c r="G48"/>
      <c r="H48"/>
      <c r="I48"/>
      <c r="J48"/>
      <c r="K48"/>
      <c r="L48"/>
      <c r="M48"/>
      <c r="N48"/>
      <c r="O48"/>
      <c r="P48"/>
    </row>
    <row r="49" spans="5:16" x14ac:dyDescent="0.5">
      <c r="E49"/>
      <c r="F49"/>
      <c r="G49"/>
      <c r="H49"/>
      <c r="I49"/>
      <c r="J49"/>
      <c r="K49"/>
      <c r="L49"/>
      <c r="M49"/>
      <c r="N49"/>
      <c r="O49"/>
      <c r="P49"/>
    </row>
    <row r="50" spans="5:16" x14ac:dyDescent="0.5">
      <c r="E50"/>
      <c r="F50"/>
      <c r="G50"/>
      <c r="H50"/>
      <c r="I50"/>
      <c r="J50"/>
      <c r="K50"/>
      <c r="L50"/>
      <c r="M50"/>
      <c r="N50"/>
      <c r="O50"/>
      <c r="P50"/>
    </row>
    <row r="51" spans="5:16" x14ac:dyDescent="0.5">
      <c r="E51"/>
      <c r="F51"/>
      <c r="G51"/>
      <c r="H51"/>
      <c r="I51"/>
      <c r="J51"/>
      <c r="K51"/>
      <c r="L51"/>
      <c r="M51"/>
      <c r="N51"/>
      <c r="O51"/>
      <c r="P51"/>
    </row>
    <row r="52" spans="5:16" x14ac:dyDescent="0.5">
      <c r="E52"/>
      <c r="F52"/>
      <c r="G52"/>
      <c r="H52"/>
      <c r="I52"/>
      <c r="J52"/>
      <c r="K52"/>
      <c r="L52"/>
      <c r="M52"/>
      <c r="N52"/>
      <c r="O52"/>
      <c r="P52"/>
    </row>
    <row r="53" spans="5:16" x14ac:dyDescent="0.5">
      <c r="E53"/>
      <c r="F53"/>
      <c r="G53"/>
      <c r="H53"/>
      <c r="I53"/>
      <c r="J53"/>
      <c r="K53"/>
      <c r="L53"/>
      <c r="M53"/>
      <c r="N53"/>
      <c r="O53"/>
      <c r="P53"/>
    </row>
    <row r="54" spans="5:16" x14ac:dyDescent="0.5">
      <c r="E54"/>
      <c r="F54"/>
      <c r="G54"/>
      <c r="H54"/>
      <c r="I54"/>
      <c r="J54"/>
      <c r="K54"/>
      <c r="L54"/>
      <c r="M54"/>
      <c r="N54"/>
      <c r="O54"/>
      <c r="P54"/>
    </row>
    <row r="55" spans="5:16" x14ac:dyDescent="0.5">
      <c r="E55"/>
      <c r="F55"/>
      <c r="G55"/>
      <c r="H55"/>
      <c r="I55"/>
      <c r="J55"/>
      <c r="K55"/>
      <c r="L55"/>
      <c r="M55"/>
      <c r="N55"/>
      <c r="O55"/>
      <c r="P55"/>
    </row>
    <row r="56" spans="5:16" x14ac:dyDescent="0.5">
      <c r="E56"/>
      <c r="F56"/>
      <c r="G56"/>
      <c r="H56"/>
      <c r="I56"/>
      <c r="J56"/>
      <c r="K56"/>
      <c r="L56"/>
      <c r="M56"/>
      <c r="N56"/>
      <c r="O56"/>
      <c r="P56"/>
    </row>
    <row r="57" spans="5:16" x14ac:dyDescent="0.5">
      <c r="E57"/>
      <c r="F57"/>
      <c r="G57"/>
      <c r="H57"/>
      <c r="I57"/>
      <c r="J57"/>
      <c r="K57"/>
      <c r="L57"/>
      <c r="M57"/>
      <c r="N57"/>
      <c r="O57"/>
      <c r="P57"/>
    </row>
    <row r="58" spans="5:16" x14ac:dyDescent="0.5">
      <c r="E58"/>
      <c r="F58"/>
      <c r="G58"/>
      <c r="H58"/>
      <c r="I58"/>
      <c r="J58"/>
      <c r="K58"/>
      <c r="L58"/>
      <c r="M58"/>
      <c r="N58"/>
      <c r="O58"/>
      <c r="P58"/>
    </row>
    <row r="59" spans="5:16" x14ac:dyDescent="0.5">
      <c r="E59"/>
      <c r="F59"/>
      <c r="G59"/>
      <c r="H59"/>
      <c r="I59"/>
      <c r="J59"/>
      <c r="K59"/>
      <c r="L59"/>
      <c r="M59"/>
      <c r="N59"/>
      <c r="O59"/>
      <c r="P59"/>
    </row>
    <row r="60" spans="5:16" x14ac:dyDescent="0.5">
      <c r="E60"/>
      <c r="F60"/>
      <c r="G60"/>
      <c r="H60"/>
      <c r="I60"/>
      <c r="J60"/>
      <c r="K60"/>
      <c r="L60"/>
      <c r="M60"/>
      <c r="N60"/>
      <c r="O60"/>
      <c r="P60"/>
    </row>
    <row r="61" spans="5:16" x14ac:dyDescent="0.5">
      <c r="E61"/>
      <c r="F61"/>
      <c r="G61"/>
      <c r="H61"/>
      <c r="I61"/>
      <c r="J61"/>
      <c r="K61"/>
      <c r="L61"/>
      <c r="M61"/>
      <c r="N61"/>
      <c r="O61"/>
      <c r="P61"/>
    </row>
    <row r="62" spans="5:16" x14ac:dyDescent="0.5">
      <c r="E62"/>
      <c r="F62"/>
      <c r="G62"/>
      <c r="H62"/>
      <c r="I62"/>
      <c r="J62"/>
      <c r="K62"/>
      <c r="L62"/>
      <c r="M62"/>
      <c r="N62"/>
      <c r="O62"/>
      <c r="P62"/>
    </row>
    <row r="63" spans="5:16" x14ac:dyDescent="0.5">
      <c r="E63"/>
      <c r="F63"/>
      <c r="G63"/>
      <c r="H63"/>
      <c r="I63"/>
      <c r="J63"/>
      <c r="K63"/>
      <c r="L63"/>
      <c r="M63"/>
      <c r="N63"/>
      <c r="O63"/>
      <c r="P63"/>
    </row>
    <row r="64" spans="5:16" x14ac:dyDescent="0.5">
      <c r="E64"/>
      <c r="F64"/>
      <c r="G64"/>
      <c r="H64"/>
      <c r="I64"/>
      <c r="J64"/>
      <c r="K64"/>
      <c r="L64"/>
      <c r="M64"/>
      <c r="N64"/>
      <c r="O64"/>
      <c r="P64"/>
    </row>
    <row r="65" spans="5:16" x14ac:dyDescent="0.5">
      <c r="E65"/>
      <c r="F65"/>
      <c r="G65"/>
      <c r="H65"/>
      <c r="I65"/>
      <c r="J65"/>
      <c r="K65"/>
      <c r="L65"/>
      <c r="M65"/>
      <c r="N65"/>
      <c r="O65"/>
      <c r="P65"/>
    </row>
    <row r="66" spans="5:16" x14ac:dyDescent="0.5">
      <c r="E66"/>
      <c r="F66"/>
      <c r="G66"/>
      <c r="H66"/>
      <c r="I66"/>
      <c r="J66"/>
      <c r="K66"/>
      <c r="L66"/>
      <c r="M66"/>
      <c r="N66"/>
      <c r="O66"/>
      <c r="P66"/>
    </row>
    <row r="67" spans="5:16" x14ac:dyDescent="0.5">
      <c r="E67"/>
      <c r="F67"/>
      <c r="G67"/>
      <c r="H67"/>
      <c r="I67"/>
      <c r="J67"/>
      <c r="K67"/>
      <c r="L67"/>
      <c r="M67"/>
      <c r="N67"/>
      <c r="O67"/>
      <c r="P67"/>
    </row>
    <row r="68" spans="5:16" x14ac:dyDescent="0.5">
      <c r="E68"/>
      <c r="F68"/>
      <c r="G68"/>
      <c r="H68"/>
      <c r="I68"/>
      <c r="J68"/>
      <c r="K68"/>
      <c r="L68"/>
      <c r="M68"/>
      <c r="N68"/>
      <c r="O68"/>
      <c r="P68"/>
    </row>
    <row r="69" spans="5:16" x14ac:dyDescent="0.5">
      <c r="E69"/>
      <c r="F69"/>
      <c r="G69"/>
      <c r="H69"/>
      <c r="I69"/>
      <c r="J69"/>
      <c r="K69"/>
      <c r="L69"/>
      <c r="M69"/>
      <c r="N69"/>
      <c r="O69"/>
      <c r="P69"/>
    </row>
    <row r="70" spans="5:16" x14ac:dyDescent="0.5">
      <c r="E70"/>
      <c r="F70"/>
      <c r="G70"/>
      <c r="H70"/>
      <c r="I70"/>
      <c r="J70"/>
      <c r="K70"/>
      <c r="L70"/>
      <c r="M70"/>
      <c r="N70"/>
      <c r="O70"/>
      <c r="P70"/>
    </row>
    <row r="71" spans="5:16" x14ac:dyDescent="0.5">
      <c r="E71"/>
      <c r="F71"/>
      <c r="G71"/>
      <c r="H71"/>
      <c r="I71"/>
      <c r="J71"/>
      <c r="K71"/>
      <c r="L71"/>
      <c r="M71"/>
      <c r="N71"/>
      <c r="O71"/>
      <c r="P71"/>
    </row>
    <row r="72" spans="5:16" x14ac:dyDescent="0.5">
      <c r="E72"/>
      <c r="F72"/>
      <c r="G72"/>
      <c r="H72"/>
      <c r="I72"/>
      <c r="J72"/>
      <c r="K72"/>
      <c r="L72"/>
      <c r="M72"/>
      <c r="N72"/>
      <c r="O72"/>
      <c r="P72"/>
    </row>
    <row r="73" spans="5:16" x14ac:dyDescent="0.5">
      <c r="E73"/>
      <c r="F73"/>
      <c r="G73"/>
      <c r="H73"/>
      <c r="I73"/>
      <c r="J73"/>
      <c r="K73"/>
      <c r="L73"/>
      <c r="M73"/>
      <c r="N73"/>
      <c r="O73"/>
      <c r="P73"/>
    </row>
    <row r="74" spans="5:16" x14ac:dyDescent="0.5">
      <c r="E74"/>
      <c r="F74"/>
      <c r="G74"/>
      <c r="H74"/>
      <c r="I74"/>
      <c r="J74"/>
      <c r="K74"/>
      <c r="L74"/>
      <c r="M74"/>
      <c r="N74"/>
      <c r="O74"/>
      <c r="P74"/>
    </row>
    <row r="75" spans="5:16" x14ac:dyDescent="0.5">
      <c r="E75"/>
      <c r="F75"/>
      <c r="G75"/>
      <c r="H75"/>
      <c r="I75"/>
      <c r="J75"/>
      <c r="K75"/>
      <c r="L75"/>
      <c r="M75"/>
      <c r="N75"/>
      <c r="O75"/>
      <c r="P75"/>
    </row>
    <row r="76" spans="5:16" x14ac:dyDescent="0.5">
      <c r="E76"/>
      <c r="F76"/>
      <c r="G76"/>
      <c r="H76"/>
      <c r="I76"/>
      <c r="J76"/>
      <c r="K76"/>
      <c r="L76"/>
      <c r="M76"/>
      <c r="N76"/>
      <c r="O76"/>
      <c r="P76"/>
    </row>
    <row r="77" spans="5:16" x14ac:dyDescent="0.5">
      <c r="E77"/>
      <c r="F77"/>
      <c r="G77"/>
      <c r="H77"/>
      <c r="I77"/>
      <c r="J77"/>
      <c r="K77"/>
      <c r="L77"/>
      <c r="M77"/>
      <c r="N77"/>
      <c r="O77"/>
      <c r="P77"/>
    </row>
    <row r="78" spans="5:16" x14ac:dyDescent="0.5">
      <c r="E78"/>
      <c r="F78"/>
      <c r="G78"/>
      <c r="H78"/>
      <c r="I78"/>
      <c r="J78"/>
      <c r="K78"/>
      <c r="L78"/>
      <c r="M78"/>
      <c r="N78"/>
      <c r="O78"/>
      <c r="P78"/>
    </row>
    <row r="79" spans="5:16" x14ac:dyDescent="0.5">
      <c r="E79"/>
      <c r="F79"/>
      <c r="G79"/>
      <c r="H79"/>
      <c r="I79"/>
      <c r="J79"/>
      <c r="K79"/>
      <c r="L79"/>
      <c r="M79"/>
      <c r="N79"/>
      <c r="O79"/>
      <c r="P79"/>
    </row>
    <row r="80" spans="5:16" x14ac:dyDescent="0.5">
      <c r="E80"/>
      <c r="F80"/>
      <c r="G80"/>
      <c r="H80"/>
      <c r="I80"/>
      <c r="J80"/>
      <c r="K80"/>
      <c r="L80"/>
      <c r="M80"/>
      <c r="N80"/>
      <c r="O80"/>
      <c r="P80"/>
    </row>
    <row r="81" spans="5:16" x14ac:dyDescent="0.5">
      <c r="E81"/>
      <c r="F81"/>
      <c r="G81"/>
      <c r="H81"/>
      <c r="I81"/>
      <c r="J81"/>
      <c r="K81"/>
      <c r="L81"/>
      <c r="M81"/>
      <c r="N81"/>
      <c r="O81"/>
      <c r="P81"/>
    </row>
    <row r="82" spans="5:16" x14ac:dyDescent="0.5">
      <c r="E82"/>
      <c r="F82"/>
      <c r="G82"/>
      <c r="H82"/>
      <c r="I82"/>
      <c r="J82"/>
      <c r="K82"/>
      <c r="L82"/>
      <c r="M82"/>
      <c r="N82"/>
      <c r="O82"/>
      <c r="P82"/>
    </row>
    <row r="83" spans="5:16" x14ac:dyDescent="0.5">
      <c r="E83"/>
      <c r="F83"/>
      <c r="G83"/>
      <c r="H83"/>
      <c r="I83"/>
      <c r="J83"/>
      <c r="K83"/>
      <c r="L83"/>
      <c r="M83"/>
      <c r="N83"/>
      <c r="O83"/>
      <c r="P83"/>
    </row>
    <row r="84" spans="5:16" x14ac:dyDescent="0.5">
      <c r="E84"/>
      <c r="F84"/>
      <c r="G84"/>
      <c r="H84"/>
      <c r="I84"/>
      <c r="J84"/>
      <c r="K84"/>
      <c r="L84"/>
      <c r="M84"/>
      <c r="N84"/>
      <c r="O84"/>
      <c r="P84"/>
    </row>
    <row r="85" spans="5:16" x14ac:dyDescent="0.5">
      <c r="E85"/>
      <c r="F85"/>
      <c r="G85"/>
      <c r="H85"/>
      <c r="I85"/>
      <c r="J85"/>
      <c r="K85"/>
      <c r="L85"/>
      <c r="M85"/>
      <c r="N85"/>
      <c r="O85"/>
      <c r="P85"/>
    </row>
    <row r="86" spans="5:16" x14ac:dyDescent="0.5">
      <c r="E86"/>
      <c r="F86"/>
      <c r="G86"/>
      <c r="H86"/>
      <c r="I86"/>
      <c r="J86"/>
      <c r="K86"/>
      <c r="L86"/>
      <c r="M86"/>
      <c r="N86"/>
      <c r="O86"/>
      <c r="P86"/>
    </row>
    <row r="87" spans="5:16" x14ac:dyDescent="0.5">
      <c r="E87"/>
      <c r="F87"/>
      <c r="G87"/>
      <c r="H87"/>
      <c r="I87"/>
      <c r="J87"/>
      <c r="K87"/>
      <c r="L87"/>
      <c r="M87"/>
      <c r="N87"/>
      <c r="O87"/>
      <c r="P87"/>
    </row>
    <row r="88" spans="5:16" x14ac:dyDescent="0.5">
      <c r="E88"/>
      <c r="F88"/>
      <c r="G88"/>
      <c r="H88"/>
      <c r="I88"/>
      <c r="J88"/>
      <c r="K88"/>
      <c r="L88"/>
      <c r="M88"/>
      <c r="N88"/>
      <c r="O88"/>
      <c r="P88"/>
    </row>
    <row r="89" spans="5:16" x14ac:dyDescent="0.5">
      <c r="E89"/>
      <c r="F89"/>
      <c r="G89"/>
      <c r="H89"/>
      <c r="I89"/>
      <c r="J89"/>
      <c r="K89"/>
      <c r="L89"/>
      <c r="M89"/>
      <c r="N89"/>
      <c r="O89"/>
      <c r="P89"/>
    </row>
    <row r="90" spans="5:16" x14ac:dyDescent="0.5">
      <c r="E90"/>
      <c r="F90"/>
      <c r="G90"/>
      <c r="H90"/>
      <c r="I90"/>
      <c r="J90"/>
      <c r="K90"/>
      <c r="L90"/>
      <c r="M90"/>
      <c r="N90"/>
      <c r="O90"/>
      <c r="P90"/>
    </row>
    <row r="91" spans="5:16" x14ac:dyDescent="0.5">
      <c r="E91"/>
      <c r="F91"/>
      <c r="G91"/>
      <c r="H91"/>
      <c r="I91"/>
      <c r="J91"/>
      <c r="K91"/>
      <c r="L91"/>
      <c r="M91"/>
      <c r="N91"/>
      <c r="O91"/>
      <c r="P91"/>
    </row>
    <row r="92" spans="5:16" x14ac:dyDescent="0.5">
      <c r="E92"/>
      <c r="F92"/>
      <c r="G92"/>
      <c r="H92"/>
      <c r="I92"/>
      <c r="J92"/>
      <c r="K92"/>
      <c r="L92"/>
      <c r="M92"/>
      <c r="N92"/>
      <c r="O92"/>
      <c r="P92"/>
    </row>
    <row r="93" spans="5:16" x14ac:dyDescent="0.5">
      <c r="E93"/>
      <c r="F93"/>
      <c r="G93"/>
      <c r="H93"/>
      <c r="I93"/>
      <c r="J93"/>
      <c r="K93"/>
      <c r="L93"/>
      <c r="M93"/>
      <c r="N93"/>
      <c r="O93"/>
      <c r="P93"/>
    </row>
    <row r="94" spans="5:16" x14ac:dyDescent="0.5">
      <c r="E94"/>
      <c r="F94"/>
      <c r="G94"/>
      <c r="H94"/>
      <c r="I94"/>
      <c r="J94"/>
      <c r="K94"/>
      <c r="L94"/>
      <c r="M94"/>
      <c r="N94"/>
      <c r="O94"/>
      <c r="P94"/>
    </row>
    <row r="95" spans="5:16" x14ac:dyDescent="0.5">
      <c r="E95"/>
      <c r="F95"/>
      <c r="G95"/>
      <c r="H95"/>
      <c r="I95"/>
      <c r="J95"/>
      <c r="K95"/>
      <c r="L95"/>
      <c r="M95"/>
      <c r="N95"/>
      <c r="O95"/>
      <c r="P95"/>
    </row>
    <row r="96" spans="5:16" x14ac:dyDescent="0.5">
      <c r="E96"/>
      <c r="F96"/>
      <c r="G96"/>
      <c r="H96"/>
      <c r="I96"/>
      <c r="J96"/>
      <c r="K96"/>
      <c r="L96"/>
      <c r="M96"/>
      <c r="N96"/>
      <c r="O96"/>
      <c r="P96"/>
    </row>
    <row r="97" spans="5:16" x14ac:dyDescent="0.5">
      <c r="E97"/>
      <c r="F97"/>
      <c r="G97"/>
      <c r="H97"/>
      <c r="I97"/>
      <c r="J97"/>
      <c r="K97"/>
      <c r="L97"/>
      <c r="M97"/>
      <c r="N97"/>
      <c r="O97"/>
      <c r="P97"/>
    </row>
    <row r="98" spans="5:16" x14ac:dyDescent="0.5">
      <c r="E98"/>
      <c r="F98"/>
      <c r="G98"/>
      <c r="H98"/>
      <c r="I98"/>
      <c r="J98"/>
      <c r="K98"/>
      <c r="L98"/>
      <c r="M98"/>
      <c r="N98"/>
      <c r="O98"/>
      <c r="P98"/>
    </row>
    <row r="99" spans="5:16" x14ac:dyDescent="0.5">
      <c r="E99"/>
      <c r="F99"/>
      <c r="G99"/>
      <c r="H99"/>
      <c r="I99"/>
      <c r="J99"/>
      <c r="K99"/>
      <c r="L99"/>
      <c r="M99"/>
      <c r="N99"/>
      <c r="O99"/>
      <c r="P99"/>
    </row>
    <row r="100" spans="5:16" x14ac:dyDescent="0.5">
      <c r="E100"/>
      <c r="F100"/>
      <c r="G100"/>
      <c r="H100"/>
      <c r="I100"/>
      <c r="J100"/>
      <c r="K100"/>
      <c r="L100"/>
      <c r="M100"/>
      <c r="N100"/>
      <c r="O100"/>
      <c r="P100"/>
    </row>
    <row r="101" spans="5:16" x14ac:dyDescent="0.5">
      <c r="E101"/>
      <c r="F101"/>
      <c r="G101"/>
      <c r="H101"/>
      <c r="I101"/>
      <c r="J101"/>
      <c r="K101"/>
      <c r="L101"/>
      <c r="M101"/>
      <c r="N101"/>
      <c r="O101"/>
      <c r="P101"/>
    </row>
    <row r="102" spans="5:16" x14ac:dyDescent="0.5">
      <c r="E102"/>
      <c r="F102"/>
      <c r="G102"/>
      <c r="H102"/>
      <c r="I102"/>
      <c r="J102"/>
      <c r="K102"/>
      <c r="L102"/>
      <c r="M102"/>
      <c r="N102"/>
      <c r="O102"/>
      <c r="P102"/>
    </row>
    <row r="103" spans="5:16" x14ac:dyDescent="0.5">
      <c r="E103"/>
      <c r="F103"/>
      <c r="G103"/>
      <c r="H103"/>
      <c r="I103"/>
      <c r="J103"/>
      <c r="K103"/>
      <c r="L103"/>
      <c r="M103"/>
      <c r="N103"/>
      <c r="O103"/>
      <c r="P103"/>
    </row>
    <row r="104" spans="5:16" x14ac:dyDescent="0.5">
      <c r="E104"/>
      <c r="F104"/>
      <c r="G104"/>
      <c r="H104"/>
      <c r="I104"/>
      <c r="J104"/>
      <c r="K104"/>
      <c r="L104"/>
      <c r="M104"/>
      <c r="N104"/>
      <c r="O104"/>
      <c r="P104"/>
    </row>
    <row r="105" spans="5:16" x14ac:dyDescent="0.5">
      <c r="E105"/>
      <c r="F105"/>
      <c r="G105"/>
      <c r="H105"/>
      <c r="I105"/>
      <c r="J105"/>
      <c r="K105"/>
      <c r="L105"/>
      <c r="M105"/>
      <c r="N105"/>
      <c r="O105"/>
      <c r="P105"/>
    </row>
    <row r="106" spans="5:16" x14ac:dyDescent="0.5">
      <c r="E106"/>
      <c r="F106"/>
      <c r="G106"/>
      <c r="H106"/>
      <c r="I106"/>
      <c r="J106"/>
      <c r="K106"/>
      <c r="L106"/>
      <c r="M106"/>
      <c r="N106"/>
      <c r="O106"/>
      <c r="P106"/>
    </row>
    <row r="107" spans="5:16" x14ac:dyDescent="0.5">
      <c r="E107"/>
      <c r="F107"/>
      <c r="G107"/>
      <c r="H107"/>
      <c r="I107"/>
      <c r="J107"/>
      <c r="K107"/>
      <c r="L107"/>
      <c r="M107"/>
      <c r="N107"/>
      <c r="O107"/>
      <c r="P107"/>
    </row>
    <row r="108" spans="5:16" x14ac:dyDescent="0.5">
      <c r="E108"/>
      <c r="F108"/>
      <c r="G108"/>
      <c r="H108"/>
      <c r="I108"/>
      <c r="J108"/>
      <c r="K108"/>
      <c r="L108"/>
      <c r="M108"/>
      <c r="N108"/>
      <c r="O108"/>
      <c r="P108"/>
    </row>
    <row r="109" spans="5:16" x14ac:dyDescent="0.5">
      <c r="E109"/>
      <c r="F109"/>
      <c r="G109"/>
      <c r="H109"/>
      <c r="I109"/>
      <c r="J109"/>
      <c r="K109"/>
      <c r="L109"/>
      <c r="M109"/>
      <c r="N109"/>
      <c r="O109"/>
      <c r="P109"/>
    </row>
    <row r="110" spans="5:16" x14ac:dyDescent="0.5">
      <c r="E110"/>
      <c r="F110"/>
      <c r="G110"/>
      <c r="H110"/>
      <c r="I110"/>
      <c r="J110"/>
      <c r="K110"/>
      <c r="L110"/>
      <c r="M110"/>
      <c r="N110"/>
      <c r="O110"/>
      <c r="P110"/>
    </row>
    <row r="111" spans="5:16" x14ac:dyDescent="0.5">
      <c r="E111"/>
      <c r="F111"/>
      <c r="G111"/>
      <c r="H111"/>
      <c r="I111"/>
      <c r="J111"/>
      <c r="K111"/>
      <c r="L111"/>
      <c r="M111"/>
      <c r="N111"/>
      <c r="O111"/>
      <c r="P111"/>
    </row>
    <row r="112" spans="5:16" x14ac:dyDescent="0.5">
      <c r="E112"/>
      <c r="F112"/>
      <c r="G112"/>
      <c r="H112"/>
      <c r="I112"/>
      <c r="J112"/>
      <c r="K112"/>
      <c r="L112"/>
      <c r="M112"/>
      <c r="N112"/>
      <c r="O112"/>
      <c r="P112"/>
    </row>
    <row r="113" spans="5:16" x14ac:dyDescent="0.5">
      <c r="E113"/>
      <c r="F113"/>
      <c r="G113"/>
      <c r="H113"/>
      <c r="I113"/>
      <c r="J113"/>
      <c r="K113"/>
      <c r="L113"/>
      <c r="M113"/>
      <c r="N113"/>
      <c r="O113"/>
      <c r="P113"/>
    </row>
    <row r="114" spans="5:16" x14ac:dyDescent="0.5">
      <c r="E114"/>
      <c r="F114"/>
      <c r="G114"/>
      <c r="H114"/>
      <c r="I114"/>
      <c r="J114"/>
      <c r="K114"/>
      <c r="L114"/>
      <c r="M114"/>
      <c r="N114"/>
      <c r="O114"/>
      <c r="P114"/>
    </row>
    <row r="115" spans="5:16" x14ac:dyDescent="0.5">
      <c r="E115"/>
      <c r="F115"/>
      <c r="G115"/>
      <c r="H115"/>
      <c r="I115"/>
      <c r="J115"/>
      <c r="K115"/>
      <c r="L115"/>
      <c r="M115"/>
      <c r="N115"/>
      <c r="O115"/>
      <c r="P115"/>
    </row>
    <row r="116" spans="5:16" x14ac:dyDescent="0.5">
      <c r="E116"/>
      <c r="F116"/>
      <c r="G116"/>
      <c r="H116"/>
      <c r="I116"/>
      <c r="J116"/>
      <c r="K116"/>
      <c r="L116"/>
      <c r="M116"/>
      <c r="N116"/>
      <c r="O116"/>
      <c r="P116"/>
    </row>
    <row r="117" spans="5:16" x14ac:dyDescent="0.5">
      <c r="E117"/>
      <c r="F117"/>
      <c r="G117"/>
      <c r="H117"/>
      <c r="I117"/>
      <c r="J117"/>
      <c r="K117"/>
      <c r="L117"/>
      <c r="M117"/>
      <c r="N117"/>
      <c r="O117"/>
      <c r="P117"/>
    </row>
    <row r="118" spans="5:16" x14ac:dyDescent="0.5">
      <c r="E118"/>
      <c r="F118"/>
      <c r="G118"/>
      <c r="H118"/>
      <c r="I118"/>
      <c r="J118"/>
      <c r="K118"/>
      <c r="L118"/>
      <c r="M118"/>
      <c r="N118"/>
      <c r="O118"/>
      <c r="P118"/>
    </row>
    <row r="119" spans="5:16" x14ac:dyDescent="0.5">
      <c r="E119"/>
      <c r="F119"/>
      <c r="G119"/>
      <c r="H119"/>
      <c r="I119"/>
      <c r="J119"/>
      <c r="K119"/>
      <c r="L119"/>
      <c r="M119"/>
      <c r="N119"/>
      <c r="O119"/>
      <c r="P119"/>
    </row>
    <row r="120" spans="5:16" x14ac:dyDescent="0.5">
      <c r="E120"/>
      <c r="F120"/>
      <c r="G120"/>
      <c r="H120"/>
      <c r="I120"/>
      <c r="J120"/>
      <c r="K120"/>
      <c r="L120"/>
      <c r="M120"/>
      <c r="N120"/>
      <c r="O120"/>
      <c r="P120"/>
    </row>
    <row r="121" spans="5:16" x14ac:dyDescent="0.5">
      <c r="E121"/>
      <c r="F121"/>
      <c r="G121"/>
      <c r="H121"/>
      <c r="I121"/>
      <c r="J121"/>
      <c r="K121"/>
      <c r="L121"/>
      <c r="M121"/>
      <c r="N121"/>
      <c r="O121"/>
      <c r="P121"/>
    </row>
    <row r="122" spans="5:16" x14ac:dyDescent="0.5">
      <c r="E122"/>
      <c r="F122"/>
      <c r="G122"/>
      <c r="H122"/>
      <c r="I122"/>
      <c r="J122"/>
      <c r="K122"/>
      <c r="L122"/>
      <c r="M122"/>
      <c r="N122"/>
      <c r="O122"/>
      <c r="P122"/>
    </row>
    <row r="123" spans="5:16" x14ac:dyDescent="0.5">
      <c r="E123"/>
      <c r="F123"/>
      <c r="G123"/>
      <c r="H123"/>
      <c r="I123"/>
      <c r="J123"/>
      <c r="K123"/>
      <c r="L123"/>
      <c r="M123"/>
      <c r="N123"/>
      <c r="O123"/>
      <c r="P123"/>
    </row>
    <row r="124" spans="5:16" x14ac:dyDescent="0.5">
      <c r="E124"/>
      <c r="F124"/>
      <c r="G124"/>
      <c r="H124"/>
      <c r="I124"/>
      <c r="J124"/>
      <c r="K124"/>
      <c r="L124"/>
      <c r="M124"/>
      <c r="N124"/>
      <c r="O124"/>
      <c r="P124"/>
    </row>
    <row r="125" spans="5:16" x14ac:dyDescent="0.5">
      <c r="E125"/>
      <c r="F125"/>
      <c r="G125"/>
      <c r="H125"/>
      <c r="I125"/>
      <c r="J125"/>
      <c r="K125"/>
      <c r="L125"/>
      <c r="M125"/>
      <c r="N125"/>
      <c r="O125"/>
      <c r="P125"/>
    </row>
    <row r="126" spans="5:16" x14ac:dyDescent="0.5">
      <c r="E126"/>
      <c r="F126"/>
      <c r="G126"/>
      <c r="H126"/>
      <c r="I126"/>
      <c r="J126"/>
      <c r="K126"/>
      <c r="L126"/>
      <c r="M126"/>
      <c r="N126"/>
      <c r="O126"/>
      <c r="P126"/>
    </row>
    <row r="127" spans="5:16" x14ac:dyDescent="0.5">
      <c r="E127"/>
      <c r="F127"/>
      <c r="G127"/>
      <c r="H127"/>
      <c r="I127"/>
      <c r="J127"/>
      <c r="K127"/>
      <c r="L127"/>
      <c r="M127"/>
      <c r="N127"/>
      <c r="O127"/>
      <c r="P127"/>
    </row>
    <row r="128" spans="5:16" x14ac:dyDescent="0.5">
      <c r="E128"/>
      <c r="F128"/>
      <c r="G128"/>
      <c r="H128"/>
      <c r="I128"/>
      <c r="J128"/>
      <c r="K128"/>
      <c r="L128"/>
      <c r="M128"/>
      <c r="N128"/>
      <c r="O128"/>
      <c r="P128"/>
    </row>
    <row r="129" spans="5:16" x14ac:dyDescent="0.5">
      <c r="E129"/>
      <c r="F129"/>
      <c r="G129"/>
      <c r="H129"/>
      <c r="I129"/>
      <c r="J129"/>
      <c r="K129"/>
      <c r="L129"/>
      <c r="M129"/>
      <c r="N129"/>
      <c r="O129"/>
      <c r="P129"/>
    </row>
    <row r="130" spans="5:16" x14ac:dyDescent="0.5">
      <c r="E130"/>
      <c r="F130"/>
      <c r="G130"/>
      <c r="H130"/>
      <c r="I130"/>
      <c r="J130"/>
      <c r="K130"/>
      <c r="L130"/>
      <c r="M130"/>
      <c r="N130"/>
      <c r="O130"/>
      <c r="P130"/>
    </row>
    <row r="131" spans="5:16" x14ac:dyDescent="0.5">
      <c r="E131"/>
      <c r="F131"/>
      <c r="G131"/>
      <c r="H131"/>
      <c r="I131"/>
      <c r="J131"/>
      <c r="K131"/>
      <c r="L131"/>
      <c r="M131"/>
      <c r="N131"/>
      <c r="O131"/>
      <c r="P131"/>
    </row>
    <row r="132" spans="5:16" x14ac:dyDescent="0.5">
      <c r="E132"/>
      <c r="F132"/>
      <c r="G132"/>
      <c r="H132"/>
      <c r="I132"/>
      <c r="J132"/>
      <c r="K132"/>
      <c r="L132"/>
      <c r="M132"/>
      <c r="N132"/>
      <c r="O132"/>
      <c r="P132"/>
    </row>
    <row r="133" spans="5:16" x14ac:dyDescent="0.5">
      <c r="E133"/>
      <c r="F133"/>
      <c r="G133"/>
      <c r="H133"/>
      <c r="I133"/>
      <c r="J133"/>
      <c r="K133"/>
      <c r="L133"/>
      <c r="M133"/>
      <c r="N133"/>
      <c r="O133"/>
      <c r="P133"/>
    </row>
    <row r="134" spans="5:16" x14ac:dyDescent="0.5">
      <c r="E134"/>
      <c r="F134"/>
      <c r="G134"/>
      <c r="H134"/>
      <c r="I134"/>
      <c r="J134"/>
      <c r="K134"/>
      <c r="L134"/>
      <c r="M134"/>
      <c r="N134"/>
      <c r="O134"/>
      <c r="P134"/>
    </row>
    <row r="135" spans="5:16" x14ac:dyDescent="0.5">
      <c r="E135"/>
      <c r="F135"/>
      <c r="G135"/>
      <c r="H135"/>
      <c r="I135"/>
      <c r="J135"/>
      <c r="K135"/>
      <c r="L135"/>
      <c r="M135"/>
      <c r="N135"/>
      <c r="O135"/>
      <c r="P135"/>
    </row>
    <row r="136" spans="5:16" x14ac:dyDescent="0.5">
      <c r="E136"/>
      <c r="F136"/>
      <c r="G136"/>
      <c r="H136"/>
      <c r="I136"/>
      <c r="J136"/>
      <c r="K136"/>
      <c r="L136"/>
      <c r="M136"/>
      <c r="N136"/>
      <c r="O136"/>
      <c r="P136"/>
    </row>
    <row r="137" spans="5:16" x14ac:dyDescent="0.5">
      <c r="E137"/>
      <c r="F137"/>
      <c r="G137"/>
      <c r="H137"/>
      <c r="I137"/>
      <c r="J137"/>
      <c r="K137"/>
      <c r="L137"/>
      <c r="M137"/>
      <c r="N137"/>
      <c r="O137"/>
      <c r="P137"/>
    </row>
    <row r="138" spans="5:16" x14ac:dyDescent="0.5">
      <c r="E138"/>
      <c r="F138"/>
      <c r="G138"/>
      <c r="H138"/>
      <c r="I138"/>
      <c r="J138"/>
      <c r="K138"/>
      <c r="L138"/>
      <c r="M138"/>
      <c r="N138"/>
      <c r="O138"/>
      <c r="P138"/>
    </row>
    <row r="139" spans="5:16" x14ac:dyDescent="0.5">
      <c r="E139"/>
      <c r="F139"/>
      <c r="G139"/>
      <c r="H139"/>
      <c r="I139"/>
      <c r="J139"/>
      <c r="K139"/>
      <c r="L139"/>
      <c r="M139"/>
      <c r="N139"/>
      <c r="O139"/>
      <c r="P139"/>
    </row>
    <row r="140" spans="5:16" x14ac:dyDescent="0.5">
      <c r="E140"/>
      <c r="F140"/>
      <c r="G140"/>
      <c r="H140"/>
      <c r="I140"/>
      <c r="J140"/>
      <c r="K140"/>
      <c r="L140"/>
      <c r="M140"/>
      <c r="N140"/>
      <c r="O140"/>
      <c r="P140"/>
    </row>
    <row r="141" spans="5:16" x14ac:dyDescent="0.5">
      <c r="E141"/>
      <c r="F141"/>
      <c r="G141"/>
      <c r="H141"/>
      <c r="I141"/>
      <c r="J141"/>
      <c r="K141"/>
      <c r="L141"/>
      <c r="M141"/>
      <c r="N141"/>
      <c r="O141"/>
      <c r="P141"/>
    </row>
    <row r="142" spans="5:16" x14ac:dyDescent="0.5">
      <c r="E142"/>
      <c r="F142"/>
      <c r="G142"/>
      <c r="H142"/>
      <c r="I142"/>
      <c r="J142"/>
      <c r="K142"/>
      <c r="L142"/>
      <c r="M142"/>
      <c r="N142"/>
      <c r="O142"/>
      <c r="P142"/>
    </row>
    <row r="143" spans="5:16" x14ac:dyDescent="0.5">
      <c r="E143"/>
      <c r="F143"/>
      <c r="G143"/>
      <c r="H143"/>
      <c r="I143"/>
      <c r="J143"/>
      <c r="K143"/>
      <c r="L143"/>
      <c r="M143"/>
      <c r="N143"/>
      <c r="O143"/>
      <c r="P143"/>
    </row>
    <row r="144" spans="5:16" x14ac:dyDescent="0.5">
      <c r="E144"/>
      <c r="F144"/>
      <c r="G144"/>
      <c r="H144"/>
      <c r="I144"/>
      <c r="J144"/>
      <c r="K144"/>
      <c r="L144"/>
      <c r="M144"/>
      <c r="N144"/>
      <c r="O144"/>
      <c r="P144"/>
    </row>
    <row r="145" spans="5:16" x14ac:dyDescent="0.5">
      <c r="E145"/>
      <c r="F145"/>
      <c r="G145"/>
      <c r="H145"/>
      <c r="I145"/>
      <c r="J145"/>
      <c r="K145"/>
      <c r="L145"/>
      <c r="M145"/>
      <c r="N145"/>
      <c r="O145"/>
      <c r="P145"/>
    </row>
    <row r="146" spans="5:16" x14ac:dyDescent="0.5">
      <c r="E146"/>
      <c r="F146"/>
      <c r="G146"/>
      <c r="H146"/>
      <c r="I146"/>
      <c r="J146"/>
      <c r="K146"/>
      <c r="L146"/>
      <c r="M146"/>
      <c r="N146"/>
      <c r="O146"/>
      <c r="P146"/>
    </row>
    <row r="147" spans="5:16" x14ac:dyDescent="0.5">
      <c r="E147"/>
      <c r="F147"/>
      <c r="G147"/>
      <c r="H147"/>
      <c r="I147"/>
      <c r="J147"/>
      <c r="K147"/>
      <c r="L147"/>
      <c r="M147"/>
      <c r="N147"/>
      <c r="O147"/>
      <c r="P147"/>
    </row>
    <row r="148" spans="5:16" x14ac:dyDescent="0.5">
      <c r="E148"/>
      <c r="F148"/>
      <c r="G148"/>
      <c r="H148"/>
      <c r="I148"/>
      <c r="J148"/>
      <c r="K148"/>
      <c r="L148"/>
      <c r="M148"/>
      <c r="N148"/>
      <c r="O148"/>
      <c r="P148"/>
    </row>
    <row r="149" spans="5:16" x14ac:dyDescent="0.5">
      <c r="E149"/>
      <c r="F149"/>
      <c r="G149"/>
      <c r="H149"/>
      <c r="I149"/>
      <c r="J149"/>
      <c r="K149"/>
      <c r="L149"/>
      <c r="M149"/>
      <c r="N149"/>
      <c r="O149"/>
      <c r="P149"/>
    </row>
    <row r="150" spans="5:16" x14ac:dyDescent="0.5">
      <c r="E150"/>
      <c r="F150"/>
      <c r="G150"/>
      <c r="H150"/>
      <c r="I150"/>
      <c r="J150"/>
      <c r="K150"/>
      <c r="L150"/>
      <c r="M150"/>
      <c r="N150"/>
      <c r="O150"/>
      <c r="P150"/>
    </row>
    <row r="151" spans="5:16" x14ac:dyDescent="0.5">
      <c r="E151"/>
      <c r="F151"/>
      <c r="G151"/>
      <c r="H151"/>
      <c r="I151"/>
      <c r="J151"/>
      <c r="K151"/>
      <c r="L151"/>
      <c r="M151"/>
      <c r="N151"/>
      <c r="O151"/>
      <c r="P151"/>
    </row>
    <row r="152" spans="5:16" x14ac:dyDescent="0.5">
      <c r="E152"/>
      <c r="F152"/>
      <c r="G152"/>
      <c r="H152"/>
      <c r="I152"/>
      <c r="J152"/>
      <c r="K152"/>
      <c r="L152"/>
      <c r="M152"/>
      <c r="N152"/>
      <c r="O152"/>
      <c r="P152"/>
    </row>
    <row r="153" spans="5:16" x14ac:dyDescent="0.5">
      <c r="E153"/>
      <c r="F153"/>
      <c r="G153"/>
      <c r="H153"/>
      <c r="I153"/>
      <c r="J153"/>
      <c r="K153"/>
      <c r="L153"/>
      <c r="M153"/>
      <c r="N153"/>
      <c r="O153"/>
      <c r="P153"/>
    </row>
    <row r="154" spans="5:16" x14ac:dyDescent="0.5">
      <c r="E154"/>
      <c r="F154"/>
      <c r="G154"/>
      <c r="H154"/>
      <c r="I154"/>
      <c r="J154"/>
      <c r="K154"/>
      <c r="L154"/>
      <c r="M154"/>
      <c r="N154"/>
      <c r="O154"/>
      <c r="P154"/>
    </row>
    <row r="155" spans="5:16" x14ac:dyDescent="0.5">
      <c r="E155"/>
      <c r="F155"/>
      <c r="G155"/>
      <c r="H155"/>
      <c r="I155"/>
      <c r="J155"/>
      <c r="K155"/>
      <c r="L155"/>
      <c r="M155"/>
      <c r="N155"/>
      <c r="O155"/>
      <c r="P155"/>
    </row>
    <row r="156" spans="5:16" x14ac:dyDescent="0.5">
      <c r="E156"/>
      <c r="F156"/>
      <c r="G156"/>
      <c r="H156"/>
      <c r="I156"/>
      <c r="J156"/>
      <c r="K156"/>
      <c r="L156"/>
      <c r="M156"/>
      <c r="N156"/>
      <c r="O156"/>
      <c r="P156"/>
    </row>
    <row r="157" spans="5:16" x14ac:dyDescent="0.5">
      <c r="E157"/>
      <c r="F157"/>
      <c r="G157"/>
      <c r="H157"/>
      <c r="I157"/>
      <c r="J157"/>
      <c r="K157"/>
      <c r="L157"/>
      <c r="M157"/>
      <c r="N157"/>
      <c r="O157"/>
      <c r="P157"/>
    </row>
    <row r="158" spans="5:16" x14ac:dyDescent="0.5">
      <c r="E158"/>
      <c r="F158"/>
      <c r="G158"/>
      <c r="H158"/>
      <c r="I158"/>
      <c r="J158"/>
      <c r="K158"/>
      <c r="L158"/>
      <c r="M158"/>
      <c r="N158"/>
      <c r="O158"/>
      <c r="P158"/>
    </row>
    <row r="159" spans="5:16" x14ac:dyDescent="0.5">
      <c r="E159"/>
      <c r="F159"/>
      <c r="G159"/>
      <c r="H159"/>
      <c r="I159"/>
      <c r="J159"/>
      <c r="K159"/>
      <c r="L159"/>
      <c r="M159"/>
      <c r="N159"/>
      <c r="O159"/>
      <c r="P159"/>
    </row>
    <row r="160" spans="5:16" x14ac:dyDescent="0.5">
      <c r="E160"/>
      <c r="F160"/>
      <c r="G160"/>
      <c r="H160"/>
      <c r="I160"/>
      <c r="J160"/>
      <c r="K160"/>
      <c r="L160"/>
      <c r="M160"/>
      <c r="N160"/>
      <c r="O160"/>
      <c r="P160"/>
    </row>
    <row r="161" spans="5:16" x14ac:dyDescent="0.5">
      <c r="E161"/>
      <c r="F161"/>
      <c r="G161"/>
      <c r="H161"/>
      <c r="I161"/>
      <c r="J161"/>
      <c r="K161"/>
      <c r="L161"/>
      <c r="M161"/>
      <c r="N161"/>
      <c r="O161"/>
      <c r="P161"/>
    </row>
    <row r="162" spans="5:16" x14ac:dyDescent="0.5">
      <c r="E162"/>
      <c r="F162"/>
      <c r="G162"/>
      <c r="H162"/>
      <c r="I162"/>
      <c r="J162"/>
      <c r="K162"/>
      <c r="L162"/>
      <c r="M162"/>
      <c r="N162"/>
      <c r="O162"/>
      <c r="P162"/>
    </row>
    <row r="163" spans="5:16" x14ac:dyDescent="0.5">
      <c r="E163"/>
      <c r="F163"/>
      <c r="G163"/>
      <c r="H163"/>
      <c r="I163"/>
      <c r="J163"/>
      <c r="K163"/>
      <c r="L163"/>
      <c r="M163"/>
      <c r="N163"/>
      <c r="O163"/>
      <c r="P163"/>
    </row>
    <row r="164" spans="5:16" x14ac:dyDescent="0.5">
      <c r="E164"/>
      <c r="F164"/>
      <c r="G164"/>
      <c r="H164"/>
      <c r="I164"/>
      <c r="J164"/>
      <c r="K164"/>
      <c r="L164"/>
      <c r="M164"/>
      <c r="N164"/>
      <c r="O164"/>
      <c r="P164"/>
    </row>
    <row r="165" spans="5:16" x14ac:dyDescent="0.5">
      <c r="E165"/>
      <c r="F165"/>
      <c r="G165"/>
      <c r="H165"/>
      <c r="I165"/>
      <c r="J165"/>
      <c r="K165"/>
      <c r="L165"/>
      <c r="M165"/>
      <c r="N165"/>
      <c r="O165"/>
      <c r="P165"/>
    </row>
    <row r="166" spans="5:16" x14ac:dyDescent="0.5">
      <c r="E166"/>
      <c r="F166"/>
      <c r="G166"/>
      <c r="H166"/>
      <c r="I166"/>
      <c r="J166"/>
      <c r="K166"/>
      <c r="L166"/>
      <c r="M166"/>
      <c r="N166"/>
      <c r="O166"/>
      <c r="P166"/>
    </row>
    <row r="167" spans="5:16" x14ac:dyDescent="0.5">
      <c r="E167"/>
      <c r="F167"/>
      <c r="G167"/>
      <c r="H167"/>
      <c r="I167"/>
      <c r="J167"/>
      <c r="K167"/>
      <c r="L167"/>
      <c r="M167"/>
      <c r="N167"/>
      <c r="O167"/>
      <c r="P167"/>
    </row>
    <row r="168" spans="5:16" x14ac:dyDescent="0.5">
      <c r="E168"/>
      <c r="F168"/>
      <c r="G168"/>
      <c r="H168"/>
      <c r="I168"/>
      <c r="J168"/>
      <c r="K168"/>
      <c r="L168"/>
      <c r="M168"/>
      <c r="N168"/>
      <c r="O168"/>
      <c r="P168"/>
    </row>
    <row r="169" spans="5:16" x14ac:dyDescent="0.5">
      <c r="E169"/>
      <c r="F169"/>
      <c r="G169"/>
      <c r="H169"/>
      <c r="I169"/>
      <c r="J169"/>
      <c r="K169"/>
      <c r="L169"/>
      <c r="M169"/>
      <c r="N169"/>
      <c r="O169"/>
      <c r="P169"/>
    </row>
    <row r="170" spans="5:16" x14ac:dyDescent="0.5">
      <c r="E170"/>
      <c r="F170"/>
      <c r="G170"/>
      <c r="H170"/>
      <c r="I170"/>
      <c r="J170"/>
      <c r="K170"/>
      <c r="L170"/>
      <c r="M170"/>
      <c r="N170"/>
      <c r="O170"/>
      <c r="P170"/>
    </row>
    <row r="171" spans="5:16" x14ac:dyDescent="0.5">
      <c r="E171"/>
      <c r="F171"/>
      <c r="G171"/>
      <c r="H171"/>
      <c r="I171"/>
      <c r="J171"/>
      <c r="K171"/>
      <c r="L171"/>
      <c r="M171"/>
      <c r="N171"/>
      <c r="O171"/>
      <c r="P171"/>
    </row>
    <row r="172" spans="5:16" x14ac:dyDescent="0.5">
      <c r="E172"/>
      <c r="F172"/>
      <c r="G172"/>
      <c r="H172"/>
      <c r="I172"/>
      <c r="J172"/>
      <c r="K172"/>
      <c r="L172"/>
      <c r="M172"/>
      <c r="N172"/>
      <c r="O172"/>
      <c r="P172"/>
    </row>
    <row r="173" spans="5:16" x14ac:dyDescent="0.5">
      <c r="E173"/>
      <c r="F173"/>
      <c r="G173"/>
      <c r="H173"/>
      <c r="I173"/>
      <c r="J173"/>
      <c r="K173"/>
      <c r="L173"/>
      <c r="M173"/>
      <c r="N173"/>
      <c r="O173"/>
      <c r="P173"/>
    </row>
    <row r="174" spans="5:16" x14ac:dyDescent="0.5">
      <c r="E174"/>
      <c r="F174"/>
      <c r="G174"/>
      <c r="H174"/>
      <c r="I174"/>
      <c r="J174"/>
      <c r="K174"/>
      <c r="L174"/>
      <c r="M174"/>
      <c r="N174"/>
      <c r="O174"/>
      <c r="P174"/>
    </row>
    <row r="175" spans="5:16" x14ac:dyDescent="0.5">
      <c r="E175"/>
      <c r="F175"/>
      <c r="G175"/>
      <c r="H175"/>
      <c r="I175"/>
      <c r="J175"/>
      <c r="K175"/>
      <c r="L175"/>
      <c r="M175"/>
      <c r="N175"/>
      <c r="O175"/>
      <c r="P175"/>
    </row>
    <row r="176" spans="5:16" x14ac:dyDescent="0.5">
      <c r="E176"/>
      <c r="F176"/>
      <c r="G176"/>
      <c r="H176"/>
      <c r="I176"/>
      <c r="J176"/>
      <c r="K176"/>
      <c r="L176"/>
      <c r="M176"/>
      <c r="N176"/>
      <c r="O176"/>
      <c r="P176"/>
    </row>
    <row r="177" spans="5:16" x14ac:dyDescent="0.5">
      <c r="E177"/>
      <c r="F177"/>
      <c r="G177"/>
      <c r="H177"/>
      <c r="I177"/>
      <c r="J177"/>
      <c r="K177"/>
      <c r="L177"/>
      <c r="M177"/>
      <c r="N177"/>
      <c r="O177"/>
      <c r="P177"/>
    </row>
    <row r="178" spans="5:16" x14ac:dyDescent="0.5">
      <c r="E178"/>
      <c r="F178"/>
      <c r="G178"/>
      <c r="H178"/>
      <c r="I178"/>
      <c r="J178"/>
      <c r="K178"/>
      <c r="L178"/>
      <c r="M178"/>
      <c r="N178"/>
      <c r="O178"/>
      <c r="P178"/>
    </row>
    <row r="179" spans="5:16" x14ac:dyDescent="0.5">
      <c r="E179"/>
      <c r="F179"/>
      <c r="G179"/>
      <c r="H179"/>
      <c r="I179"/>
      <c r="J179"/>
      <c r="K179"/>
      <c r="L179"/>
      <c r="M179"/>
      <c r="N179"/>
      <c r="O179"/>
      <c r="P179"/>
    </row>
    <row r="180" spans="5:16" x14ac:dyDescent="0.5">
      <c r="E180"/>
      <c r="F180"/>
      <c r="G180"/>
      <c r="H180"/>
      <c r="I180"/>
      <c r="J180"/>
      <c r="K180"/>
      <c r="L180"/>
      <c r="M180"/>
      <c r="N180"/>
      <c r="O180"/>
      <c r="P180"/>
    </row>
    <row r="181" spans="5:16" x14ac:dyDescent="0.5">
      <c r="E181"/>
      <c r="F181"/>
      <c r="G181"/>
      <c r="H181"/>
      <c r="I181"/>
      <c r="J181"/>
      <c r="K181"/>
      <c r="L181"/>
      <c r="M181"/>
      <c r="N181"/>
      <c r="O181"/>
      <c r="P181"/>
    </row>
    <row r="182" spans="5:16" x14ac:dyDescent="0.5">
      <c r="E182"/>
      <c r="F182"/>
      <c r="G182"/>
      <c r="H182"/>
      <c r="I182"/>
      <c r="J182"/>
      <c r="K182"/>
      <c r="L182"/>
      <c r="M182"/>
      <c r="N182"/>
      <c r="O182"/>
      <c r="P182"/>
    </row>
    <row r="183" spans="5:16" x14ac:dyDescent="0.5">
      <c r="E183"/>
      <c r="F183"/>
      <c r="G183"/>
      <c r="H183"/>
      <c r="I183"/>
      <c r="J183"/>
      <c r="K183"/>
      <c r="L183"/>
      <c r="M183"/>
      <c r="N183"/>
      <c r="O183"/>
      <c r="P183"/>
    </row>
    <row r="184" spans="5:16" x14ac:dyDescent="0.5">
      <c r="E184"/>
      <c r="F184"/>
      <c r="G184"/>
      <c r="H184"/>
      <c r="I184"/>
      <c r="J184"/>
      <c r="K184"/>
      <c r="L184"/>
      <c r="M184"/>
      <c r="N184"/>
      <c r="O184"/>
      <c r="P184"/>
    </row>
    <row r="185" spans="5:16" x14ac:dyDescent="0.5">
      <c r="E185"/>
      <c r="F185"/>
      <c r="G185"/>
      <c r="H185"/>
      <c r="I185"/>
      <c r="J185"/>
      <c r="K185"/>
      <c r="L185"/>
      <c r="M185"/>
      <c r="N185"/>
      <c r="O185"/>
      <c r="P185"/>
    </row>
    <row r="186" spans="5:16" x14ac:dyDescent="0.5">
      <c r="E186"/>
      <c r="F186"/>
      <c r="G186"/>
      <c r="H186"/>
      <c r="I186"/>
      <c r="J186"/>
      <c r="K186"/>
      <c r="L186"/>
      <c r="M186"/>
      <c r="N186"/>
      <c r="O186"/>
      <c r="P186"/>
    </row>
    <row r="187" spans="5:16" x14ac:dyDescent="0.5">
      <c r="E187"/>
      <c r="F187"/>
      <c r="G187"/>
      <c r="H187"/>
      <c r="I187"/>
      <c r="J187"/>
      <c r="K187"/>
      <c r="L187"/>
      <c r="M187"/>
      <c r="N187"/>
      <c r="O187"/>
      <c r="P187"/>
    </row>
    <row r="188" spans="5:16" x14ac:dyDescent="0.5">
      <c r="E188"/>
      <c r="F188"/>
      <c r="G188"/>
      <c r="H188"/>
      <c r="I188"/>
      <c r="J188"/>
      <c r="K188"/>
      <c r="L188"/>
      <c r="M188"/>
      <c r="N188"/>
      <c r="O188"/>
      <c r="P188"/>
    </row>
    <row r="189" spans="5:16" x14ac:dyDescent="0.5">
      <c r="E189"/>
      <c r="F189"/>
      <c r="G189"/>
      <c r="H189"/>
      <c r="I189"/>
      <c r="J189"/>
      <c r="K189"/>
      <c r="L189"/>
      <c r="M189"/>
      <c r="N189"/>
      <c r="O189"/>
      <c r="P189"/>
    </row>
    <row r="190" spans="5:16" x14ac:dyDescent="0.5">
      <c r="E190"/>
      <c r="F190"/>
      <c r="G190"/>
      <c r="H190"/>
      <c r="I190"/>
      <c r="J190"/>
      <c r="K190"/>
      <c r="L190"/>
      <c r="M190"/>
      <c r="N190"/>
      <c r="O190"/>
      <c r="P190"/>
    </row>
    <row r="191" spans="5:16" x14ac:dyDescent="0.5">
      <c r="E191"/>
      <c r="F191"/>
      <c r="G191"/>
      <c r="H191"/>
      <c r="I191"/>
      <c r="J191"/>
      <c r="K191"/>
      <c r="L191"/>
      <c r="M191"/>
      <c r="N191"/>
      <c r="O191"/>
      <c r="P191"/>
    </row>
    <row r="192" spans="5:16" x14ac:dyDescent="0.5">
      <c r="E192"/>
      <c r="F192"/>
      <c r="G192"/>
      <c r="H192"/>
      <c r="I192"/>
      <c r="J192"/>
      <c r="K192"/>
      <c r="L192"/>
      <c r="M192"/>
      <c r="N192"/>
      <c r="O192"/>
      <c r="P192"/>
    </row>
    <row r="193" spans="5:16" x14ac:dyDescent="0.5">
      <c r="E193"/>
      <c r="F193"/>
      <c r="G193"/>
      <c r="H193"/>
      <c r="I193"/>
      <c r="J193"/>
      <c r="K193"/>
      <c r="L193"/>
      <c r="M193"/>
      <c r="N193"/>
      <c r="O193"/>
      <c r="P193"/>
    </row>
    <row r="194" spans="5:16" x14ac:dyDescent="0.5">
      <c r="E194"/>
      <c r="F194"/>
      <c r="G194"/>
      <c r="H194"/>
      <c r="I194"/>
      <c r="J194"/>
      <c r="K194"/>
      <c r="L194"/>
      <c r="M194"/>
      <c r="N194"/>
      <c r="O194"/>
      <c r="P194"/>
    </row>
    <row r="195" spans="5:16" x14ac:dyDescent="0.5">
      <c r="E195"/>
      <c r="F195"/>
      <c r="G195"/>
      <c r="H195"/>
      <c r="I195"/>
      <c r="J195"/>
      <c r="K195"/>
      <c r="L195"/>
      <c r="M195"/>
      <c r="N195"/>
      <c r="O195"/>
      <c r="P195"/>
    </row>
    <row r="196" spans="5:16" x14ac:dyDescent="0.5">
      <c r="E196"/>
      <c r="F196"/>
      <c r="G196"/>
      <c r="H196"/>
      <c r="I196"/>
      <c r="J196"/>
      <c r="K196"/>
      <c r="L196"/>
      <c r="M196"/>
      <c r="N196"/>
      <c r="O196"/>
      <c r="P196"/>
    </row>
    <row r="197" spans="5:16" x14ac:dyDescent="0.5">
      <c r="E197"/>
      <c r="F197"/>
      <c r="G197"/>
      <c r="H197"/>
      <c r="I197"/>
      <c r="J197"/>
      <c r="K197"/>
      <c r="L197"/>
      <c r="M197"/>
      <c r="N197"/>
      <c r="O197"/>
      <c r="P197"/>
    </row>
    <row r="198" spans="5:16" x14ac:dyDescent="0.5">
      <c r="E198"/>
      <c r="F198"/>
      <c r="G198"/>
      <c r="H198"/>
      <c r="I198"/>
      <c r="J198"/>
      <c r="K198"/>
      <c r="L198"/>
      <c r="M198"/>
      <c r="N198"/>
      <c r="O198"/>
      <c r="P198"/>
    </row>
    <row r="199" spans="5:16" x14ac:dyDescent="0.5">
      <c r="E199"/>
      <c r="F199"/>
      <c r="G199"/>
      <c r="H199"/>
      <c r="I199"/>
      <c r="J199"/>
      <c r="K199"/>
      <c r="L199"/>
      <c r="M199"/>
      <c r="N199"/>
      <c r="O199"/>
      <c r="P199"/>
    </row>
    <row r="200" spans="5:16" x14ac:dyDescent="0.5">
      <c r="E200"/>
      <c r="F200"/>
      <c r="G200"/>
      <c r="H200"/>
      <c r="I200"/>
      <c r="J200"/>
      <c r="K200"/>
      <c r="L200"/>
      <c r="M200"/>
      <c r="N200"/>
      <c r="O200"/>
      <c r="P200"/>
    </row>
    <row r="201" spans="5:16" x14ac:dyDescent="0.5">
      <c r="E201"/>
      <c r="F201"/>
      <c r="G201"/>
      <c r="H201"/>
      <c r="I201"/>
      <c r="J201"/>
      <c r="K201"/>
      <c r="L201"/>
      <c r="M201"/>
      <c r="N201"/>
      <c r="O201"/>
      <c r="P201"/>
    </row>
    <row r="202" spans="5:16" x14ac:dyDescent="0.5">
      <c r="E202"/>
      <c r="F202"/>
      <c r="G202"/>
      <c r="H202"/>
      <c r="I202"/>
      <c r="J202"/>
      <c r="K202"/>
      <c r="L202"/>
      <c r="M202"/>
      <c r="N202"/>
      <c r="O202"/>
      <c r="P202"/>
    </row>
    <row r="203" spans="5:16" x14ac:dyDescent="0.5">
      <c r="E203"/>
      <c r="F203"/>
      <c r="G203"/>
      <c r="H203"/>
      <c r="I203"/>
      <c r="J203"/>
      <c r="K203"/>
      <c r="L203"/>
      <c r="M203"/>
      <c r="N203"/>
      <c r="O203"/>
      <c r="P203"/>
    </row>
    <row r="204" spans="5:16" x14ac:dyDescent="0.5">
      <c r="E204"/>
      <c r="F204"/>
      <c r="G204"/>
      <c r="H204"/>
      <c r="I204"/>
      <c r="J204"/>
      <c r="K204"/>
      <c r="L204"/>
      <c r="M204"/>
      <c r="N204"/>
      <c r="O204"/>
      <c r="P204"/>
    </row>
    <row r="205" spans="5:16" x14ac:dyDescent="0.5">
      <c r="E205"/>
      <c r="F205"/>
      <c r="G205"/>
      <c r="H205"/>
      <c r="I205"/>
      <c r="J205"/>
      <c r="K205"/>
      <c r="L205"/>
      <c r="M205"/>
      <c r="N205"/>
      <c r="O205"/>
      <c r="P205"/>
    </row>
    <row r="206" spans="5:16" x14ac:dyDescent="0.5">
      <c r="E206"/>
      <c r="F206"/>
      <c r="G206"/>
      <c r="H206"/>
      <c r="I206"/>
      <c r="J206"/>
      <c r="K206"/>
      <c r="L206"/>
      <c r="M206"/>
      <c r="N206"/>
      <c r="O206"/>
      <c r="P206"/>
    </row>
    <row r="207" spans="5:16" x14ac:dyDescent="0.5">
      <c r="E207"/>
      <c r="F207"/>
      <c r="G207"/>
      <c r="H207"/>
      <c r="I207"/>
      <c r="J207"/>
      <c r="K207"/>
      <c r="L207"/>
      <c r="M207"/>
      <c r="N207"/>
      <c r="O207"/>
      <c r="P207"/>
    </row>
    <row r="208" spans="5:16" x14ac:dyDescent="0.5">
      <c r="E208"/>
      <c r="F208"/>
      <c r="G208"/>
      <c r="H208"/>
      <c r="I208"/>
      <c r="J208"/>
      <c r="K208"/>
      <c r="L208"/>
      <c r="M208"/>
      <c r="N208"/>
      <c r="O208"/>
      <c r="P208"/>
    </row>
    <row r="209" spans="5:16" x14ac:dyDescent="0.5">
      <c r="E209"/>
      <c r="F209"/>
      <c r="G209"/>
      <c r="H209"/>
      <c r="I209"/>
      <c r="J209"/>
      <c r="K209"/>
      <c r="L209"/>
      <c r="M209"/>
      <c r="N209"/>
      <c r="O209"/>
      <c r="P209"/>
    </row>
    <row r="210" spans="5:16" x14ac:dyDescent="0.5">
      <c r="E210"/>
      <c r="F210"/>
      <c r="G210"/>
      <c r="H210"/>
      <c r="I210"/>
      <c r="J210"/>
      <c r="K210"/>
      <c r="L210"/>
      <c r="M210"/>
      <c r="N210"/>
      <c r="O210"/>
      <c r="P210"/>
    </row>
    <row r="211" spans="5:16" x14ac:dyDescent="0.5">
      <c r="E211"/>
      <c r="F211"/>
      <c r="G211"/>
      <c r="H211"/>
      <c r="I211"/>
      <c r="J211"/>
      <c r="K211"/>
      <c r="L211"/>
      <c r="M211"/>
      <c r="N211"/>
      <c r="O211"/>
      <c r="P211"/>
    </row>
    <row r="212" spans="5:16" x14ac:dyDescent="0.5">
      <c r="E212"/>
      <c r="F212"/>
      <c r="G212"/>
      <c r="H212"/>
      <c r="I212"/>
      <c r="J212"/>
      <c r="K212"/>
      <c r="L212"/>
      <c r="M212"/>
      <c r="N212"/>
      <c r="O212"/>
      <c r="P212"/>
    </row>
    <row r="213" spans="5:16" x14ac:dyDescent="0.5">
      <c r="E213"/>
      <c r="F213"/>
      <c r="G213"/>
      <c r="H213"/>
      <c r="I213"/>
      <c r="J213"/>
      <c r="K213"/>
      <c r="L213"/>
      <c r="M213"/>
      <c r="N213"/>
      <c r="O213"/>
      <c r="P213"/>
    </row>
    <row r="214" spans="5:16" x14ac:dyDescent="0.5">
      <c r="E214"/>
      <c r="F214"/>
      <c r="G214"/>
      <c r="H214"/>
      <c r="I214"/>
      <c r="J214"/>
      <c r="K214"/>
      <c r="L214"/>
      <c r="M214"/>
      <c r="N214"/>
      <c r="O214"/>
      <c r="P214"/>
    </row>
    <row r="215" spans="5:16" x14ac:dyDescent="0.5">
      <c r="E215"/>
      <c r="F215"/>
      <c r="G215"/>
      <c r="H215"/>
      <c r="I215"/>
      <c r="J215"/>
      <c r="K215"/>
      <c r="L215"/>
      <c r="M215"/>
      <c r="N215"/>
      <c r="O215"/>
      <c r="P215"/>
    </row>
    <row r="216" spans="5:16" x14ac:dyDescent="0.5">
      <c r="E216"/>
      <c r="F216"/>
      <c r="G216"/>
      <c r="H216"/>
      <c r="I216"/>
      <c r="J216"/>
      <c r="K216"/>
      <c r="L216"/>
      <c r="M216"/>
      <c r="N216"/>
      <c r="O216"/>
      <c r="P216"/>
    </row>
    <row r="217" spans="5:16" x14ac:dyDescent="0.5">
      <c r="E217"/>
      <c r="F217"/>
      <c r="G217"/>
      <c r="H217"/>
      <c r="I217"/>
      <c r="J217"/>
      <c r="K217"/>
      <c r="L217"/>
      <c r="M217"/>
      <c r="N217"/>
      <c r="O217"/>
      <c r="P217"/>
    </row>
    <row r="218" spans="5:16" x14ac:dyDescent="0.5">
      <c r="E218"/>
      <c r="F218"/>
      <c r="G218"/>
      <c r="H218"/>
      <c r="I218"/>
      <c r="J218"/>
      <c r="K218"/>
      <c r="L218"/>
      <c r="M218"/>
      <c r="N218"/>
      <c r="O218"/>
      <c r="P218"/>
    </row>
    <row r="219" spans="5:16" x14ac:dyDescent="0.5">
      <c r="E219"/>
      <c r="F219"/>
      <c r="G219"/>
      <c r="H219"/>
      <c r="I219"/>
      <c r="J219"/>
      <c r="K219"/>
      <c r="L219"/>
      <c r="M219"/>
      <c r="N219"/>
      <c r="O219"/>
      <c r="P219"/>
    </row>
    <row r="220" spans="5:16" x14ac:dyDescent="0.5">
      <c r="E220"/>
      <c r="F220"/>
      <c r="G220"/>
      <c r="H220"/>
      <c r="I220"/>
      <c r="J220"/>
      <c r="K220"/>
      <c r="L220"/>
      <c r="M220"/>
      <c r="N220"/>
      <c r="O220"/>
      <c r="P220"/>
    </row>
    <row r="221" spans="5:16" x14ac:dyDescent="0.5">
      <c r="E221"/>
      <c r="F221"/>
      <c r="G221"/>
      <c r="H221"/>
      <c r="I221"/>
      <c r="J221"/>
      <c r="K221"/>
      <c r="L221"/>
      <c r="M221"/>
      <c r="N221"/>
      <c r="O221"/>
      <c r="P221"/>
    </row>
    <row r="222" spans="5:16" x14ac:dyDescent="0.5">
      <c r="E222"/>
      <c r="F222"/>
      <c r="G222"/>
      <c r="H222"/>
      <c r="I222"/>
      <c r="J222"/>
      <c r="K222"/>
      <c r="L222"/>
      <c r="M222"/>
      <c r="N222"/>
      <c r="O222"/>
      <c r="P222"/>
    </row>
    <row r="223" spans="5:16" x14ac:dyDescent="0.5">
      <c r="E223"/>
      <c r="F223"/>
      <c r="G223"/>
      <c r="H223"/>
      <c r="I223"/>
      <c r="J223"/>
      <c r="K223"/>
      <c r="L223"/>
      <c r="M223"/>
      <c r="N223"/>
      <c r="O223"/>
      <c r="P223"/>
    </row>
    <row r="224" spans="5:16" x14ac:dyDescent="0.5">
      <c r="E224"/>
      <c r="F224"/>
      <c r="G224"/>
      <c r="H224"/>
      <c r="I224"/>
      <c r="J224"/>
      <c r="K224"/>
      <c r="L224"/>
      <c r="M224"/>
      <c r="N224"/>
      <c r="O224"/>
      <c r="P224"/>
    </row>
    <row r="225" spans="5:16" x14ac:dyDescent="0.5">
      <c r="E225"/>
      <c r="F225"/>
      <c r="G225"/>
      <c r="H225"/>
      <c r="I225"/>
      <c r="J225"/>
      <c r="K225"/>
      <c r="L225"/>
      <c r="M225"/>
      <c r="N225"/>
      <c r="O225"/>
      <c r="P225"/>
    </row>
    <row r="226" spans="5:16" x14ac:dyDescent="0.5">
      <c r="E226"/>
      <c r="F226"/>
      <c r="G226"/>
      <c r="H226"/>
      <c r="I226"/>
      <c r="J226"/>
      <c r="K226"/>
      <c r="L226"/>
      <c r="M226"/>
      <c r="N226"/>
      <c r="O226"/>
      <c r="P226"/>
    </row>
    <row r="227" spans="5:16" x14ac:dyDescent="0.5">
      <c r="E227"/>
      <c r="F227"/>
      <c r="G227"/>
      <c r="H227"/>
      <c r="I227"/>
      <c r="J227"/>
      <c r="K227"/>
      <c r="L227"/>
      <c r="M227"/>
      <c r="N227"/>
      <c r="O227"/>
      <c r="P227"/>
    </row>
    <row r="228" spans="5:16" x14ac:dyDescent="0.5">
      <c r="E228"/>
      <c r="F228"/>
      <c r="G228"/>
      <c r="H228"/>
      <c r="I228"/>
      <c r="J228"/>
      <c r="K228"/>
      <c r="L228"/>
      <c r="M228"/>
      <c r="N228"/>
      <c r="O228"/>
      <c r="P228"/>
    </row>
    <row r="229" spans="5:16" x14ac:dyDescent="0.5">
      <c r="E229"/>
      <c r="F229"/>
      <c r="G229"/>
      <c r="H229"/>
      <c r="I229"/>
      <c r="J229"/>
      <c r="K229"/>
      <c r="L229"/>
      <c r="M229"/>
      <c r="N229"/>
      <c r="O229"/>
      <c r="P229"/>
    </row>
    <row r="230" spans="5:16" x14ac:dyDescent="0.5">
      <c r="E230"/>
      <c r="F230"/>
      <c r="G230"/>
      <c r="H230"/>
      <c r="I230"/>
      <c r="J230"/>
      <c r="K230"/>
      <c r="L230"/>
      <c r="M230"/>
      <c r="N230"/>
      <c r="O230"/>
      <c r="P230"/>
    </row>
    <row r="231" spans="5:16" x14ac:dyDescent="0.5">
      <c r="E231"/>
      <c r="F231"/>
      <c r="G231"/>
      <c r="H231"/>
      <c r="I231"/>
      <c r="J231"/>
      <c r="K231"/>
      <c r="L231"/>
      <c r="M231"/>
      <c r="N231"/>
      <c r="O231"/>
      <c r="P231"/>
    </row>
    <row r="232" spans="5:16" x14ac:dyDescent="0.5">
      <c r="E232"/>
      <c r="F232"/>
      <c r="G232"/>
      <c r="H232"/>
      <c r="I232"/>
      <c r="J232"/>
      <c r="K232"/>
      <c r="L232"/>
      <c r="M232"/>
      <c r="N232"/>
      <c r="O232"/>
      <c r="P232"/>
    </row>
    <row r="233" spans="5:16" x14ac:dyDescent="0.5">
      <c r="E233"/>
      <c r="F233"/>
      <c r="G233"/>
      <c r="H233"/>
      <c r="I233"/>
      <c r="J233"/>
      <c r="K233"/>
      <c r="L233"/>
      <c r="M233"/>
      <c r="N233"/>
      <c r="O233"/>
      <c r="P233"/>
    </row>
    <row r="234" spans="5:16" x14ac:dyDescent="0.5">
      <c r="E234"/>
      <c r="F234"/>
      <c r="G234"/>
      <c r="H234"/>
      <c r="I234"/>
      <c r="J234"/>
      <c r="K234"/>
      <c r="L234"/>
      <c r="M234"/>
      <c r="N234"/>
      <c r="O234"/>
      <c r="P234"/>
    </row>
    <row r="235" spans="5:16" x14ac:dyDescent="0.5">
      <c r="E235"/>
      <c r="F235"/>
      <c r="G235"/>
      <c r="H235"/>
      <c r="I235"/>
      <c r="J235"/>
      <c r="K235"/>
      <c r="L235"/>
      <c r="M235"/>
      <c r="N235"/>
      <c r="O235"/>
      <c r="P235"/>
    </row>
    <row r="236" spans="5:16" x14ac:dyDescent="0.5">
      <c r="E236"/>
      <c r="F236"/>
      <c r="G236"/>
      <c r="H236"/>
      <c r="I236"/>
      <c r="J236"/>
      <c r="K236"/>
      <c r="L236"/>
      <c r="M236"/>
      <c r="N236"/>
      <c r="O236"/>
      <c r="P236"/>
    </row>
    <row r="237" spans="5:16" x14ac:dyDescent="0.5">
      <c r="E237"/>
      <c r="F237"/>
      <c r="G237"/>
      <c r="H237"/>
      <c r="I237"/>
      <c r="J237"/>
      <c r="K237"/>
      <c r="L237"/>
      <c r="M237"/>
      <c r="N237"/>
      <c r="O237"/>
      <c r="P237"/>
    </row>
    <row r="238" spans="5:16" x14ac:dyDescent="0.5">
      <c r="E238"/>
      <c r="F238"/>
      <c r="G238"/>
      <c r="H238"/>
      <c r="I238"/>
      <c r="J238"/>
      <c r="K238"/>
      <c r="L238"/>
      <c r="M238"/>
      <c r="N238"/>
      <c r="O238"/>
      <c r="P238"/>
    </row>
    <row r="239" spans="5:16" x14ac:dyDescent="0.5">
      <c r="E239"/>
      <c r="F239"/>
      <c r="G239"/>
      <c r="H239"/>
      <c r="I239"/>
      <c r="J239"/>
      <c r="K239"/>
      <c r="L239"/>
      <c r="M239"/>
      <c r="N239"/>
      <c r="O239"/>
      <c r="P239"/>
    </row>
    <row r="240" spans="5:16" x14ac:dyDescent="0.5">
      <c r="E240"/>
      <c r="F240"/>
      <c r="G240"/>
      <c r="H240"/>
      <c r="I240"/>
      <c r="J240"/>
      <c r="K240"/>
      <c r="L240"/>
      <c r="M240"/>
      <c r="N240"/>
      <c r="O240"/>
      <c r="P240"/>
    </row>
    <row r="241" spans="5:16" x14ac:dyDescent="0.5">
      <c r="E241"/>
      <c r="F241"/>
      <c r="G241"/>
      <c r="H241"/>
      <c r="I241"/>
      <c r="J241"/>
      <c r="K241"/>
      <c r="L241"/>
      <c r="M241"/>
      <c r="N241"/>
      <c r="O241"/>
      <c r="P241"/>
    </row>
    <row r="242" spans="5:16" x14ac:dyDescent="0.5">
      <c r="E242"/>
      <c r="F242"/>
      <c r="G242"/>
      <c r="H242"/>
      <c r="I242"/>
      <c r="J242"/>
      <c r="K242"/>
      <c r="L242"/>
      <c r="M242"/>
      <c r="N242"/>
      <c r="O242"/>
      <c r="P242"/>
    </row>
    <row r="243" spans="5:16" x14ac:dyDescent="0.5">
      <c r="E243"/>
      <c r="F243"/>
      <c r="G243"/>
      <c r="H243"/>
      <c r="I243"/>
      <c r="J243"/>
      <c r="K243"/>
      <c r="L243"/>
      <c r="M243"/>
      <c r="N243"/>
      <c r="O243"/>
      <c r="P243"/>
    </row>
    <row r="244" spans="5:16" x14ac:dyDescent="0.5">
      <c r="E244"/>
      <c r="F244"/>
      <c r="G244"/>
      <c r="H244"/>
      <c r="I244"/>
      <c r="J244"/>
      <c r="K244"/>
      <c r="L244"/>
      <c r="M244"/>
      <c r="N244"/>
      <c r="O244"/>
      <c r="P244"/>
    </row>
    <row r="245" spans="5:16" x14ac:dyDescent="0.5">
      <c r="E245"/>
      <c r="F245"/>
      <c r="G245"/>
      <c r="H245"/>
      <c r="I245"/>
      <c r="J245"/>
      <c r="K245"/>
      <c r="L245"/>
      <c r="M245"/>
      <c r="N245"/>
      <c r="O245"/>
      <c r="P245"/>
    </row>
    <row r="246" spans="5:16" x14ac:dyDescent="0.5">
      <c r="E246"/>
      <c r="F246"/>
      <c r="G246"/>
      <c r="H246"/>
      <c r="I246"/>
      <c r="J246"/>
      <c r="K246"/>
      <c r="L246"/>
      <c r="M246"/>
      <c r="N246"/>
      <c r="O246"/>
      <c r="P246"/>
    </row>
    <row r="247" spans="5:16" x14ac:dyDescent="0.5">
      <c r="E247"/>
      <c r="F247"/>
      <c r="G247"/>
      <c r="H247"/>
      <c r="I247"/>
      <c r="J247"/>
      <c r="K247"/>
      <c r="L247"/>
      <c r="M247"/>
      <c r="N247"/>
      <c r="O247"/>
      <c r="P247"/>
    </row>
    <row r="248" spans="5:16" x14ac:dyDescent="0.5">
      <c r="E248"/>
      <c r="F248"/>
      <c r="G248"/>
      <c r="H248"/>
      <c r="I248"/>
      <c r="J248"/>
      <c r="K248"/>
      <c r="L248"/>
      <c r="M248"/>
      <c r="N248"/>
      <c r="O248"/>
      <c r="P248"/>
    </row>
    <row r="249" spans="5:16" x14ac:dyDescent="0.5">
      <c r="E249"/>
      <c r="F249"/>
      <c r="G249"/>
      <c r="H249"/>
      <c r="I249"/>
      <c r="J249"/>
      <c r="K249"/>
      <c r="L249"/>
      <c r="M249"/>
      <c r="N249"/>
      <c r="O249"/>
      <c r="P249"/>
    </row>
    <row r="250" spans="5:16" x14ac:dyDescent="0.5">
      <c r="E250"/>
      <c r="F250"/>
      <c r="G250"/>
      <c r="H250"/>
      <c r="I250"/>
      <c r="J250"/>
      <c r="K250"/>
      <c r="L250"/>
      <c r="M250"/>
      <c r="N250"/>
      <c r="O250"/>
      <c r="P250"/>
    </row>
    <row r="251" spans="5:16" x14ac:dyDescent="0.5">
      <c r="E251"/>
      <c r="F251"/>
      <c r="G251"/>
      <c r="H251"/>
      <c r="I251"/>
      <c r="J251"/>
      <c r="K251"/>
      <c r="L251"/>
      <c r="M251"/>
      <c r="N251"/>
      <c r="O251"/>
      <c r="P251"/>
    </row>
    <row r="252" spans="5:16" x14ac:dyDescent="0.5">
      <c r="E252"/>
      <c r="F252"/>
      <c r="G252"/>
      <c r="H252"/>
      <c r="I252"/>
      <c r="J252"/>
      <c r="K252"/>
      <c r="L252"/>
      <c r="M252"/>
      <c r="N252"/>
      <c r="O252"/>
      <c r="P252"/>
    </row>
    <row r="253" spans="5:16" x14ac:dyDescent="0.5">
      <c r="E253"/>
      <c r="F253"/>
      <c r="G253"/>
      <c r="H253"/>
      <c r="I253"/>
      <c r="J253"/>
      <c r="K253"/>
      <c r="L253"/>
      <c r="M253"/>
      <c r="N253"/>
      <c r="O253"/>
      <c r="P253"/>
    </row>
    <row r="254" spans="5:16" x14ac:dyDescent="0.5">
      <c r="E254"/>
      <c r="F254"/>
      <c r="G254"/>
      <c r="H254"/>
      <c r="I254"/>
      <c r="J254"/>
      <c r="K254"/>
      <c r="L254"/>
      <c r="M254"/>
      <c r="N254"/>
      <c r="O254"/>
      <c r="P254"/>
    </row>
    <row r="255" spans="5:16" x14ac:dyDescent="0.5">
      <c r="E255"/>
      <c r="F255"/>
      <c r="G255"/>
      <c r="H255"/>
      <c r="I255"/>
      <c r="J255"/>
      <c r="K255"/>
      <c r="L255"/>
      <c r="M255"/>
      <c r="N255"/>
      <c r="O255"/>
      <c r="P255"/>
    </row>
    <row r="256" spans="5:16" x14ac:dyDescent="0.5">
      <c r="E256"/>
      <c r="F256"/>
      <c r="G256"/>
      <c r="H256"/>
      <c r="I256"/>
      <c r="J256"/>
      <c r="K256"/>
      <c r="L256"/>
      <c r="M256"/>
      <c r="N256"/>
      <c r="O256"/>
      <c r="P256"/>
    </row>
    <row r="257" spans="5:16" x14ac:dyDescent="0.5">
      <c r="E257"/>
      <c r="F257"/>
      <c r="G257"/>
      <c r="H257"/>
      <c r="I257"/>
      <c r="J257"/>
      <c r="K257"/>
      <c r="L257"/>
      <c r="M257"/>
      <c r="N257"/>
      <c r="O257"/>
      <c r="P257"/>
    </row>
    <row r="258" spans="5:16" x14ac:dyDescent="0.5">
      <c r="E258"/>
      <c r="F258"/>
      <c r="G258"/>
      <c r="H258"/>
      <c r="I258"/>
      <c r="J258"/>
      <c r="K258"/>
      <c r="L258"/>
      <c r="M258"/>
      <c r="N258"/>
      <c r="O258"/>
      <c r="P258"/>
    </row>
    <row r="259" spans="5:16" x14ac:dyDescent="0.5">
      <c r="E259"/>
      <c r="F259"/>
      <c r="G259"/>
      <c r="H259"/>
      <c r="I259"/>
      <c r="J259"/>
      <c r="K259"/>
      <c r="L259"/>
      <c r="M259"/>
      <c r="N259"/>
      <c r="O259"/>
      <c r="P259"/>
    </row>
    <row r="260" spans="5:16" x14ac:dyDescent="0.5">
      <c r="E260"/>
      <c r="F260"/>
      <c r="G260"/>
      <c r="H260"/>
      <c r="I260"/>
      <c r="J260"/>
      <c r="K260"/>
      <c r="L260"/>
      <c r="M260"/>
      <c r="N260"/>
      <c r="O260"/>
      <c r="P260"/>
    </row>
    <row r="261" spans="5:16" x14ac:dyDescent="0.5">
      <c r="E261"/>
      <c r="F261"/>
      <c r="G261"/>
      <c r="H261"/>
      <c r="I261"/>
      <c r="J261"/>
      <c r="K261"/>
      <c r="L261"/>
      <c r="M261"/>
      <c r="N261"/>
      <c r="O261"/>
      <c r="P261"/>
    </row>
    <row r="262" spans="5:16" x14ac:dyDescent="0.5">
      <c r="E262"/>
      <c r="F262"/>
      <c r="G262"/>
      <c r="H262"/>
      <c r="I262"/>
      <c r="J262"/>
      <c r="K262"/>
      <c r="L262"/>
      <c r="M262"/>
      <c r="N262"/>
      <c r="O262"/>
      <c r="P262"/>
    </row>
    <row r="263" spans="5:16" x14ac:dyDescent="0.5">
      <c r="E263"/>
      <c r="F263"/>
      <c r="G263"/>
      <c r="H263"/>
      <c r="I263"/>
      <c r="J263"/>
      <c r="K263"/>
      <c r="L263"/>
      <c r="M263"/>
      <c r="N263"/>
      <c r="O263"/>
      <c r="P263"/>
    </row>
    <row r="264" spans="5:16" x14ac:dyDescent="0.5">
      <c r="E264"/>
      <c r="F264"/>
      <c r="G264"/>
      <c r="H264"/>
      <c r="I264"/>
      <c r="J264"/>
      <c r="K264"/>
      <c r="L264"/>
      <c r="M264"/>
      <c r="N264"/>
      <c r="O264"/>
      <c r="P264"/>
    </row>
    <row r="265" spans="5:16" x14ac:dyDescent="0.5">
      <c r="E265"/>
      <c r="F265"/>
      <c r="G265"/>
      <c r="H265"/>
      <c r="I265"/>
      <c r="J265"/>
      <c r="K265"/>
      <c r="L265"/>
      <c r="M265"/>
      <c r="N265"/>
      <c r="O265"/>
      <c r="P265"/>
    </row>
    <row r="266" spans="5:16" x14ac:dyDescent="0.5">
      <c r="E266"/>
      <c r="F266"/>
      <c r="G266"/>
      <c r="H266"/>
      <c r="I266"/>
      <c r="J266"/>
      <c r="K266"/>
      <c r="L266"/>
      <c r="M266"/>
      <c r="N266"/>
      <c r="O266"/>
      <c r="P266"/>
    </row>
    <row r="267" spans="5:16" x14ac:dyDescent="0.5">
      <c r="E267"/>
      <c r="F267"/>
      <c r="G267"/>
      <c r="H267"/>
      <c r="I267"/>
      <c r="J267"/>
      <c r="K267"/>
      <c r="L267"/>
      <c r="M267"/>
      <c r="N267"/>
      <c r="O267"/>
      <c r="P267"/>
    </row>
    <row r="268" spans="5:16" x14ac:dyDescent="0.5">
      <c r="E268"/>
      <c r="F268"/>
      <c r="G268"/>
      <c r="H268"/>
      <c r="I268"/>
      <c r="J268"/>
      <c r="K268"/>
      <c r="L268"/>
      <c r="M268"/>
      <c r="N268"/>
      <c r="O268"/>
      <c r="P268"/>
    </row>
    <row r="269" spans="5:16" x14ac:dyDescent="0.5">
      <c r="E269"/>
      <c r="F269"/>
      <c r="G269"/>
      <c r="H269"/>
      <c r="I269"/>
      <c r="J269"/>
      <c r="K269"/>
      <c r="L269"/>
      <c r="M269"/>
      <c r="N269"/>
      <c r="O269"/>
      <c r="P269"/>
    </row>
    <row r="270" spans="5:16" x14ac:dyDescent="0.5">
      <c r="E270"/>
      <c r="F270"/>
      <c r="G270"/>
      <c r="H270"/>
      <c r="I270"/>
      <c r="J270"/>
      <c r="K270"/>
      <c r="L270"/>
      <c r="M270"/>
      <c r="N270"/>
      <c r="O270"/>
      <c r="P270"/>
    </row>
    <row r="271" spans="5:16" x14ac:dyDescent="0.5">
      <c r="E271"/>
      <c r="F271"/>
      <c r="G271"/>
      <c r="H271"/>
      <c r="I271"/>
      <c r="J271"/>
      <c r="K271"/>
      <c r="L271"/>
      <c r="M271"/>
      <c r="N271"/>
      <c r="O271"/>
      <c r="P271"/>
    </row>
    <row r="272" spans="5:16" x14ac:dyDescent="0.5">
      <c r="E272"/>
      <c r="F272"/>
      <c r="G272"/>
      <c r="H272"/>
      <c r="I272"/>
      <c r="J272"/>
      <c r="K272"/>
      <c r="L272"/>
      <c r="M272"/>
      <c r="N272"/>
      <c r="O272"/>
      <c r="P272"/>
    </row>
    <row r="273" spans="5:16" x14ac:dyDescent="0.5">
      <c r="E273"/>
      <c r="F273"/>
      <c r="G273"/>
      <c r="H273"/>
      <c r="I273"/>
      <c r="J273"/>
      <c r="K273"/>
      <c r="L273"/>
      <c r="M273"/>
      <c r="N273"/>
      <c r="O273"/>
      <c r="P273"/>
    </row>
    <row r="274" spans="5:16" x14ac:dyDescent="0.5">
      <c r="E274"/>
      <c r="F274"/>
      <c r="G274"/>
      <c r="H274"/>
      <c r="I274"/>
      <c r="J274"/>
      <c r="K274"/>
      <c r="L274"/>
      <c r="M274"/>
      <c r="N274"/>
      <c r="O274"/>
      <c r="P274"/>
    </row>
    <row r="275" spans="5:16" x14ac:dyDescent="0.5">
      <c r="E275"/>
      <c r="F275"/>
      <c r="G275"/>
      <c r="H275"/>
      <c r="I275"/>
      <c r="J275"/>
      <c r="K275"/>
      <c r="L275"/>
      <c r="M275"/>
      <c r="N275"/>
      <c r="O275"/>
      <c r="P275"/>
    </row>
    <row r="276" spans="5:16" x14ac:dyDescent="0.5">
      <c r="E276"/>
      <c r="F276"/>
      <c r="G276"/>
      <c r="H276"/>
      <c r="I276"/>
      <c r="J276"/>
      <c r="K276"/>
      <c r="L276"/>
      <c r="M276"/>
      <c r="N276"/>
      <c r="O276"/>
      <c r="P276"/>
    </row>
    <row r="277" spans="5:16" x14ac:dyDescent="0.5">
      <c r="E277"/>
      <c r="F277"/>
      <c r="G277"/>
      <c r="H277"/>
      <c r="I277"/>
      <c r="J277"/>
      <c r="K277"/>
      <c r="L277"/>
      <c r="M277"/>
      <c r="N277"/>
      <c r="O277"/>
      <c r="P277"/>
    </row>
    <row r="278" spans="5:16" x14ac:dyDescent="0.5">
      <c r="E278"/>
      <c r="F278"/>
      <c r="G278"/>
      <c r="H278"/>
      <c r="I278"/>
      <c r="J278"/>
      <c r="K278"/>
      <c r="L278"/>
      <c r="M278"/>
      <c r="N278"/>
      <c r="O278"/>
      <c r="P278"/>
    </row>
    <row r="279" spans="5:16" x14ac:dyDescent="0.5">
      <c r="E279"/>
      <c r="F279"/>
      <c r="G279"/>
      <c r="H279"/>
      <c r="I279"/>
      <c r="J279"/>
      <c r="K279"/>
      <c r="L279"/>
      <c r="M279"/>
      <c r="N279"/>
      <c r="O279"/>
      <c r="P279"/>
    </row>
    <row r="280" spans="5:16" x14ac:dyDescent="0.5">
      <c r="E280"/>
      <c r="F280"/>
      <c r="G280"/>
      <c r="H280"/>
      <c r="I280"/>
      <c r="J280"/>
      <c r="K280"/>
      <c r="L280"/>
      <c r="M280"/>
      <c r="N280"/>
      <c r="O280"/>
      <c r="P280"/>
    </row>
    <row r="281" spans="5:16" x14ac:dyDescent="0.5">
      <c r="E281"/>
      <c r="F281"/>
      <c r="G281"/>
      <c r="H281"/>
      <c r="I281"/>
      <c r="J281"/>
      <c r="K281"/>
      <c r="L281"/>
      <c r="M281"/>
      <c r="N281"/>
      <c r="O281"/>
      <c r="P281"/>
    </row>
    <row r="282" spans="5:16" x14ac:dyDescent="0.5">
      <c r="E282"/>
      <c r="F282"/>
      <c r="G282"/>
      <c r="H282"/>
      <c r="I282"/>
      <c r="J282"/>
      <c r="K282"/>
      <c r="L282"/>
      <c r="M282"/>
      <c r="N282"/>
      <c r="O282"/>
      <c r="P282"/>
    </row>
    <row r="283" spans="5:16" x14ac:dyDescent="0.5">
      <c r="E283"/>
      <c r="F283"/>
      <c r="G283"/>
      <c r="H283"/>
      <c r="I283"/>
      <c r="J283"/>
      <c r="K283"/>
      <c r="L283"/>
      <c r="M283"/>
      <c r="N283"/>
      <c r="O283"/>
      <c r="P283"/>
    </row>
    <row r="284" spans="5:16" x14ac:dyDescent="0.5">
      <c r="E284"/>
      <c r="F284"/>
      <c r="G284"/>
      <c r="H284"/>
      <c r="I284"/>
      <c r="J284"/>
      <c r="K284"/>
      <c r="L284"/>
      <c r="M284"/>
      <c r="N284"/>
      <c r="O284"/>
      <c r="P284"/>
    </row>
    <row r="285" spans="5:16" x14ac:dyDescent="0.5">
      <c r="E285"/>
      <c r="F285"/>
      <c r="G285"/>
      <c r="H285"/>
      <c r="I285"/>
      <c r="J285"/>
      <c r="K285"/>
      <c r="L285"/>
      <c r="M285"/>
      <c r="N285"/>
      <c r="O285"/>
      <c r="P285"/>
    </row>
    <row r="286" spans="5:16" x14ac:dyDescent="0.5">
      <c r="E286"/>
      <c r="F286"/>
      <c r="G286"/>
      <c r="H286"/>
      <c r="I286"/>
      <c r="J286"/>
      <c r="K286"/>
      <c r="L286"/>
      <c r="M286"/>
      <c r="N286"/>
      <c r="O286"/>
      <c r="P286"/>
    </row>
    <row r="287" spans="5:16" x14ac:dyDescent="0.5">
      <c r="E287"/>
      <c r="F287"/>
      <c r="G287"/>
      <c r="H287"/>
      <c r="I287"/>
      <c r="J287"/>
      <c r="K287"/>
      <c r="L287"/>
      <c r="M287"/>
      <c r="N287"/>
      <c r="O287"/>
      <c r="P287"/>
    </row>
    <row r="288" spans="5:16" x14ac:dyDescent="0.5">
      <c r="E288"/>
      <c r="F288"/>
      <c r="G288"/>
      <c r="H288"/>
      <c r="I288"/>
      <c r="J288"/>
      <c r="K288"/>
      <c r="L288"/>
      <c r="M288"/>
      <c r="N288"/>
      <c r="O288"/>
      <c r="P288"/>
    </row>
    <row r="289" spans="5:16" x14ac:dyDescent="0.5">
      <c r="E289"/>
      <c r="F289"/>
      <c r="G289"/>
      <c r="H289"/>
      <c r="I289"/>
      <c r="J289"/>
      <c r="K289"/>
      <c r="L289"/>
      <c r="M289"/>
      <c r="N289"/>
      <c r="O289"/>
      <c r="P289"/>
    </row>
    <row r="290" spans="5:16" x14ac:dyDescent="0.5">
      <c r="E290"/>
      <c r="F290"/>
      <c r="G290"/>
      <c r="H290"/>
      <c r="I290"/>
      <c r="J290"/>
      <c r="K290"/>
      <c r="L290"/>
      <c r="M290"/>
      <c r="N290"/>
      <c r="O290"/>
      <c r="P290"/>
    </row>
    <row r="291" spans="5:16" x14ac:dyDescent="0.5">
      <c r="E291"/>
      <c r="F291"/>
      <c r="G291"/>
      <c r="H291"/>
      <c r="I291"/>
      <c r="J291"/>
      <c r="K291"/>
      <c r="L291"/>
      <c r="M291"/>
      <c r="N291"/>
      <c r="O291"/>
      <c r="P291"/>
    </row>
    <row r="292" spans="5:16" x14ac:dyDescent="0.5">
      <c r="E292"/>
      <c r="F292"/>
      <c r="G292"/>
      <c r="H292"/>
      <c r="I292"/>
      <c r="J292"/>
      <c r="K292"/>
      <c r="L292"/>
      <c r="M292"/>
      <c r="N292"/>
      <c r="O292"/>
      <c r="P292"/>
    </row>
    <row r="293" spans="5:16" x14ac:dyDescent="0.5">
      <c r="E293"/>
      <c r="F293"/>
      <c r="G293"/>
      <c r="H293"/>
      <c r="I293"/>
      <c r="J293"/>
      <c r="K293"/>
      <c r="L293"/>
      <c r="M293"/>
      <c r="N293"/>
      <c r="O293"/>
      <c r="P293"/>
    </row>
    <row r="294" spans="5:16" x14ac:dyDescent="0.5">
      <c r="E294"/>
      <c r="F294"/>
      <c r="G294"/>
      <c r="H294"/>
      <c r="I294"/>
      <c r="J294"/>
      <c r="K294"/>
      <c r="L294"/>
      <c r="M294"/>
      <c r="N294"/>
      <c r="O294"/>
      <c r="P294"/>
    </row>
    <row r="295" spans="5:16" x14ac:dyDescent="0.5">
      <c r="E295"/>
      <c r="F295"/>
      <c r="G295"/>
      <c r="H295"/>
      <c r="I295"/>
      <c r="J295"/>
      <c r="K295"/>
      <c r="L295"/>
      <c r="M295"/>
      <c r="N295"/>
      <c r="O295"/>
      <c r="P295"/>
    </row>
    <row r="296" spans="5:16" x14ac:dyDescent="0.5">
      <c r="E296"/>
      <c r="F296"/>
      <c r="G296"/>
      <c r="H296"/>
      <c r="I296"/>
      <c r="J296"/>
      <c r="K296"/>
      <c r="L296"/>
      <c r="M296"/>
      <c r="N296"/>
      <c r="O296"/>
      <c r="P296"/>
    </row>
    <row r="297" spans="5:16" x14ac:dyDescent="0.5">
      <c r="E297"/>
      <c r="F297"/>
      <c r="G297"/>
      <c r="H297"/>
      <c r="I297"/>
      <c r="J297"/>
      <c r="K297"/>
      <c r="L297"/>
      <c r="M297"/>
      <c r="N297"/>
      <c r="O297"/>
      <c r="P297"/>
    </row>
    <row r="298" spans="5:16" x14ac:dyDescent="0.5">
      <c r="E298"/>
      <c r="F298"/>
      <c r="G298"/>
      <c r="H298"/>
      <c r="I298"/>
      <c r="J298"/>
      <c r="K298"/>
      <c r="L298"/>
      <c r="M298"/>
      <c r="N298"/>
      <c r="O298"/>
      <c r="P298"/>
    </row>
    <row r="299" spans="5:16" x14ac:dyDescent="0.5">
      <c r="E299"/>
      <c r="F299"/>
      <c r="G299"/>
      <c r="H299"/>
      <c r="I299"/>
      <c r="J299"/>
      <c r="K299"/>
      <c r="L299"/>
      <c r="M299"/>
      <c r="N299"/>
      <c r="O299"/>
      <c r="P299"/>
    </row>
    <row r="300" spans="5:16" x14ac:dyDescent="0.5">
      <c r="E300"/>
      <c r="F300"/>
      <c r="G300"/>
      <c r="H300"/>
      <c r="I300"/>
      <c r="J300"/>
      <c r="K300"/>
      <c r="L300"/>
      <c r="M300"/>
      <c r="N300"/>
      <c r="O300"/>
      <c r="P300"/>
    </row>
    <row r="301" spans="5:16" x14ac:dyDescent="0.5">
      <c r="E301"/>
      <c r="F301"/>
      <c r="G301"/>
      <c r="H301"/>
      <c r="I301"/>
      <c r="J301"/>
      <c r="K301"/>
      <c r="L301"/>
      <c r="M301"/>
      <c r="N301"/>
      <c r="O301"/>
      <c r="P301"/>
    </row>
    <row r="302" spans="5:16" x14ac:dyDescent="0.5">
      <c r="E302"/>
      <c r="F302"/>
      <c r="G302"/>
      <c r="H302"/>
      <c r="I302"/>
      <c r="J302"/>
      <c r="K302"/>
      <c r="L302"/>
      <c r="M302"/>
      <c r="N302"/>
      <c r="O302"/>
      <c r="P302"/>
    </row>
    <row r="303" spans="5:16" x14ac:dyDescent="0.5">
      <c r="E303"/>
      <c r="F303"/>
      <c r="G303"/>
      <c r="H303"/>
      <c r="I303"/>
      <c r="J303"/>
      <c r="K303"/>
      <c r="L303"/>
      <c r="M303"/>
      <c r="N303"/>
      <c r="O303"/>
      <c r="P303"/>
    </row>
    <row r="304" spans="5:16" x14ac:dyDescent="0.5">
      <c r="E304"/>
      <c r="F304"/>
      <c r="G304"/>
      <c r="H304"/>
      <c r="I304"/>
      <c r="J304"/>
      <c r="K304"/>
      <c r="L304"/>
      <c r="M304"/>
      <c r="N304"/>
      <c r="O304"/>
      <c r="P304"/>
    </row>
    <row r="305" spans="5:16" x14ac:dyDescent="0.5">
      <c r="E305"/>
      <c r="F305"/>
      <c r="G305"/>
      <c r="H305"/>
      <c r="I305"/>
      <c r="J305"/>
      <c r="K305"/>
      <c r="L305"/>
      <c r="M305"/>
      <c r="N305"/>
      <c r="O305"/>
      <c r="P305"/>
    </row>
    <row r="306" spans="5:16" x14ac:dyDescent="0.5">
      <c r="E306"/>
      <c r="F306"/>
      <c r="G306"/>
      <c r="H306"/>
      <c r="I306"/>
      <c r="J306"/>
      <c r="K306"/>
      <c r="L306"/>
      <c r="M306"/>
      <c r="N306"/>
      <c r="O306"/>
      <c r="P306"/>
    </row>
    <row r="307" spans="5:16" x14ac:dyDescent="0.5">
      <c r="E307"/>
      <c r="F307"/>
      <c r="G307"/>
      <c r="H307"/>
      <c r="I307"/>
      <c r="J307"/>
      <c r="K307"/>
      <c r="L307"/>
      <c r="M307"/>
      <c r="N307"/>
      <c r="O307"/>
      <c r="P307"/>
    </row>
    <row r="308" spans="5:16" x14ac:dyDescent="0.5">
      <c r="E308"/>
      <c r="F308"/>
      <c r="G308"/>
      <c r="H308"/>
      <c r="I308"/>
      <c r="J308"/>
      <c r="K308"/>
      <c r="L308"/>
      <c r="M308"/>
      <c r="N308"/>
      <c r="O308"/>
      <c r="P308"/>
    </row>
    <row r="309" spans="5:16" x14ac:dyDescent="0.5">
      <c r="E309"/>
      <c r="F309"/>
      <c r="G309"/>
      <c r="H309"/>
      <c r="I309"/>
      <c r="J309"/>
      <c r="K309"/>
      <c r="L309"/>
      <c r="M309"/>
      <c r="N309"/>
      <c r="O309"/>
      <c r="P309"/>
    </row>
    <row r="310" spans="5:16" x14ac:dyDescent="0.5">
      <c r="E310"/>
      <c r="F310"/>
      <c r="G310"/>
      <c r="H310"/>
      <c r="I310"/>
      <c r="J310"/>
      <c r="K310"/>
      <c r="L310"/>
      <c r="M310"/>
      <c r="N310"/>
      <c r="O310"/>
      <c r="P310"/>
    </row>
    <row r="311" spans="5:16" x14ac:dyDescent="0.5">
      <c r="E311"/>
      <c r="F311"/>
      <c r="G311"/>
      <c r="H311"/>
      <c r="I311"/>
      <c r="J311"/>
      <c r="K311"/>
      <c r="L311"/>
      <c r="M311"/>
      <c r="N311"/>
      <c r="O311"/>
      <c r="P311"/>
    </row>
    <row r="312" spans="5:16" x14ac:dyDescent="0.5">
      <c r="E312"/>
      <c r="F312"/>
      <c r="G312"/>
      <c r="H312"/>
      <c r="I312"/>
      <c r="J312"/>
      <c r="K312"/>
      <c r="L312"/>
      <c r="M312"/>
      <c r="N312"/>
      <c r="O312"/>
      <c r="P312"/>
    </row>
    <row r="313" spans="5:16" x14ac:dyDescent="0.5">
      <c r="E313"/>
      <c r="F313"/>
      <c r="G313"/>
      <c r="H313"/>
      <c r="I313"/>
      <c r="J313"/>
      <c r="K313"/>
      <c r="L313"/>
      <c r="M313"/>
      <c r="N313"/>
      <c r="O313"/>
      <c r="P313"/>
    </row>
    <row r="314" spans="5:16" x14ac:dyDescent="0.5">
      <c r="E314"/>
      <c r="F314"/>
      <c r="G314"/>
      <c r="H314"/>
      <c r="I314"/>
      <c r="J314"/>
      <c r="K314"/>
      <c r="L314"/>
      <c r="M314"/>
      <c r="N314"/>
      <c r="O314"/>
      <c r="P314"/>
    </row>
    <row r="315" spans="5:16" x14ac:dyDescent="0.5">
      <c r="E315"/>
      <c r="F315"/>
      <c r="G315"/>
      <c r="H315"/>
      <c r="I315"/>
      <c r="J315"/>
      <c r="K315"/>
      <c r="L315"/>
      <c r="M315"/>
      <c r="N315"/>
      <c r="O315"/>
      <c r="P315"/>
    </row>
    <row r="316" spans="5:16" x14ac:dyDescent="0.5">
      <c r="E316"/>
      <c r="F316"/>
      <c r="G316"/>
      <c r="H316"/>
      <c r="I316"/>
      <c r="J316"/>
      <c r="K316"/>
      <c r="L316"/>
      <c r="M316"/>
      <c r="N316"/>
      <c r="O316"/>
      <c r="P316"/>
    </row>
    <row r="317" spans="5:16" x14ac:dyDescent="0.5">
      <c r="E317"/>
      <c r="F317"/>
      <c r="G317"/>
      <c r="H317"/>
      <c r="I317"/>
      <c r="J317"/>
      <c r="K317"/>
      <c r="L317"/>
      <c r="M317"/>
      <c r="N317"/>
      <c r="O317"/>
      <c r="P317"/>
    </row>
    <row r="318" spans="5:16" x14ac:dyDescent="0.5">
      <c r="E318"/>
      <c r="F318"/>
      <c r="G318"/>
      <c r="H318"/>
      <c r="I318"/>
      <c r="J318"/>
      <c r="K318"/>
      <c r="L318"/>
      <c r="M318"/>
      <c r="N318"/>
      <c r="O318"/>
      <c r="P318"/>
    </row>
    <row r="319" spans="5:16" x14ac:dyDescent="0.5">
      <c r="E319"/>
      <c r="F319"/>
      <c r="G319"/>
      <c r="H319"/>
      <c r="I319"/>
      <c r="J319"/>
      <c r="K319"/>
      <c r="L319"/>
      <c r="M319"/>
      <c r="N319"/>
      <c r="O319"/>
      <c r="P319"/>
    </row>
    <row r="320" spans="5:16" x14ac:dyDescent="0.5">
      <c r="E320"/>
      <c r="F320"/>
      <c r="G320"/>
      <c r="H320"/>
      <c r="I320"/>
      <c r="J320"/>
      <c r="K320"/>
      <c r="L320"/>
      <c r="M320"/>
      <c r="N320"/>
      <c r="O320"/>
      <c r="P320"/>
    </row>
    <row r="321" spans="5:16" x14ac:dyDescent="0.5">
      <c r="E321"/>
      <c r="F321"/>
      <c r="G321"/>
      <c r="H321"/>
      <c r="I321"/>
      <c r="J321"/>
      <c r="K321"/>
      <c r="L321"/>
      <c r="M321"/>
      <c r="N321"/>
      <c r="O321"/>
      <c r="P321"/>
    </row>
    <row r="322" spans="5:16" x14ac:dyDescent="0.5">
      <c r="E322"/>
      <c r="F322"/>
      <c r="G322"/>
      <c r="H322"/>
      <c r="I322"/>
      <c r="J322"/>
      <c r="K322"/>
      <c r="L322"/>
      <c r="M322"/>
      <c r="N322"/>
      <c r="O322"/>
      <c r="P322"/>
    </row>
    <row r="323" spans="5:16" x14ac:dyDescent="0.5">
      <c r="E323"/>
      <c r="F323"/>
      <c r="G323"/>
      <c r="H323"/>
      <c r="I323"/>
      <c r="J323"/>
      <c r="K323"/>
      <c r="L323"/>
      <c r="M323"/>
      <c r="N323"/>
      <c r="O323"/>
      <c r="P323"/>
    </row>
    <row r="324" spans="5:16" x14ac:dyDescent="0.5">
      <c r="E324"/>
      <c r="F324"/>
      <c r="G324"/>
      <c r="H324"/>
      <c r="I324"/>
      <c r="J324"/>
      <c r="K324"/>
      <c r="L324"/>
      <c r="M324"/>
      <c r="N324"/>
      <c r="O324"/>
      <c r="P324"/>
    </row>
    <row r="325" spans="5:16" x14ac:dyDescent="0.5">
      <c r="E325"/>
      <c r="F325"/>
      <c r="G325"/>
      <c r="H325"/>
      <c r="I325"/>
      <c r="J325"/>
      <c r="K325"/>
      <c r="L325"/>
      <c r="M325"/>
      <c r="N325"/>
      <c r="O325"/>
      <c r="P325"/>
    </row>
    <row r="326" spans="5:16" x14ac:dyDescent="0.5">
      <c r="E326"/>
      <c r="F326"/>
      <c r="G326"/>
      <c r="H326"/>
      <c r="I326"/>
      <c r="J326"/>
      <c r="K326"/>
      <c r="L326"/>
      <c r="M326"/>
      <c r="N326"/>
      <c r="O326"/>
      <c r="P326"/>
    </row>
    <row r="327" spans="5:16" x14ac:dyDescent="0.5">
      <c r="E327"/>
      <c r="F327"/>
      <c r="G327"/>
      <c r="H327"/>
      <c r="I327"/>
      <c r="J327"/>
      <c r="K327"/>
      <c r="L327"/>
      <c r="M327"/>
      <c r="N327"/>
      <c r="O327"/>
      <c r="P327"/>
    </row>
    <row r="328" spans="5:16" x14ac:dyDescent="0.5">
      <c r="E328"/>
      <c r="F328"/>
      <c r="G328"/>
      <c r="H328"/>
      <c r="I328"/>
      <c r="J328"/>
      <c r="K328"/>
      <c r="L328"/>
      <c r="M328"/>
      <c r="N328"/>
      <c r="O328"/>
      <c r="P328"/>
    </row>
    <row r="329" spans="5:16" x14ac:dyDescent="0.5">
      <c r="E329"/>
      <c r="F329"/>
      <c r="G329"/>
      <c r="H329"/>
      <c r="I329"/>
      <c r="J329"/>
      <c r="K329"/>
      <c r="L329"/>
      <c r="M329"/>
      <c r="N329"/>
      <c r="O329"/>
      <c r="P329"/>
    </row>
    <row r="330" spans="5:16" x14ac:dyDescent="0.5">
      <c r="E330"/>
      <c r="F330"/>
      <c r="G330"/>
      <c r="H330"/>
      <c r="I330"/>
      <c r="J330"/>
      <c r="K330"/>
      <c r="L330"/>
      <c r="M330"/>
      <c r="N330"/>
      <c r="O330"/>
      <c r="P330"/>
    </row>
    <row r="331" spans="5:16" x14ac:dyDescent="0.5">
      <c r="E331"/>
      <c r="F331"/>
      <c r="G331"/>
      <c r="H331"/>
      <c r="I331"/>
      <c r="J331"/>
      <c r="K331"/>
      <c r="L331"/>
      <c r="M331"/>
      <c r="N331"/>
      <c r="O331"/>
      <c r="P331"/>
    </row>
    <row r="332" spans="5:16" x14ac:dyDescent="0.5">
      <c r="E332"/>
      <c r="F332"/>
      <c r="G332"/>
      <c r="H332"/>
      <c r="I332"/>
      <c r="J332"/>
      <c r="K332"/>
      <c r="L332"/>
      <c r="M332"/>
      <c r="N332"/>
      <c r="O332"/>
      <c r="P332"/>
    </row>
    <row r="333" spans="5:16" x14ac:dyDescent="0.5">
      <c r="E333"/>
      <c r="F333"/>
      <c r="G333"/>
      <c r="H333"/>
      <c r="I333"/>
      <c r="J333"/>
      <c r="K333"/>
      <c r="L333"/>
      <c r="M333"/>
      <c r="N333"/>
      <c r="O333"/>
      <c r="P333"/>
    </row>
    <row r="334" spans="5:16" x14ac:dyDescent="0.5">
      <c r="E334"/>
      <c r="F334"/>
      <c r="G334"/>
      <c r="H334"/>
      <c r="I334"/>
      <c r="J334"/>
      <c r="K334"/>
      <c r="L334"/>
      <c r="M334"/>
      <c r="N334"/>
      <c r="O334"/>
      <c r="P334"/>
    </row>
    <row r="335" spans="5:16" x14ac:dyDescent="0.5">
      <c r="E335"/>
      <c r="F335"/>
      <c r="G335"/>
      <c r="H335"/>
      <c r="I335"/>
      <c r="J335"/>
      <c r="K335"/>
      <c r="L335"/>
      <c r="M335"/>
      <c r="N335"/>
      <c r="O335"/>
      <c r="P335"/>
    </row>
    <row r="336" spans="5:16" x14ac:dyDescent="0.5">
      <c r="E336"/>
      <c r="F336"/>
      <c r="G336"/>
      <c r="H336"/>
      <c r="I336"/>
      <c r="J336"/>
      <c r="K336"/>
      <c r="L336"/>
      <c r="M336"/>
      <c r="N336"/>
      <c r="O336"/>
      <c r="P336"/>
    </row>
    <row r="337" spans="5:16" x14ac:dyDescent="0.5">
      <c r="E337"/>
      <c r="F337"/>
      <c r="G337"/>
      <c r="H337"/>
      <c r="I337"/>
      <c r="J337"/>
      <c r="K337"/>
      <c r="L337"/>
      <c r="M337"/>
      <c r="N337"/>
      <c r="O337"/>
      <c r="P337"/>
    </row>
    <row r="338" spans="5:16" x14ac:dyDescent="0.5">
      <c r="E338"/>
      <c r="F338"/>
      <c r="G338"/>
      <c r="H338"/>
      <c r="I338"/>
      <c r="J338"/>
      <c r="K338"/>
      <c r="L338"/>
      <c r="M338"/>
      <c r="N338"/>
      <c r="O338"/>
      <c r="P338"/>
    </row>
    <row r="339" spans="5:16" x14ac:dyDescent="0.5">
      <c r="E339"/>
      <c r="F339"/>
      <c r="G339"/>
      <c r="H339"/>
      <c r="I339"/>
      <c r="J339"/>
      <c r="K339"/>
      <c r="L339"/>
      <c r="M339"/>
      <c r="N339"/>
      <c r="O339"/>
      <c r="P339"/>
    </row>
    <row r="340" spans="5:16" x14ac:dyDescent="0.5">
      <c r="E340"/>
      <c r="F340"/>
      <c r="G340"/>
      <c r="H340"/>
      <c r="I340"/>
      <c r="J340"/>
      <c r="K340"/>
      <c r="L340"/>
      <c r="M340"/>
      <c r="N340"/>
      <c r="O340"/>
      <c r="P340"/>
    </row>
    <row r="341" spans="5:16" x14ac:dyDescent="0.5">
      <c r="E341"/>
      <c r="F341"/>
      <c r="G341"/>
      <c r="H341"/>
      <c r="I341"/>
      <c r="J341"/>
      <c r="K341"/>
      <c r="L341"/>
      <c r="M341"/>
      <c r="N341"/>
      <c r="O341"/>
      <c r="P341"/>
    </row>
    <row r="342" spans="5:16" x14ac:dyDescent="0.5">
      <c r="E342"/>
      <c r="F342"/>
      <c r="G342"/>
      <c r="H342"/>
      <c r="I342"/>
      <c r="J342"/>
      <c r="K342"/>
      <c r="L342"/>
      <c r="M342"/>
      <c r="N342"/>
      <c r="O342"/>
      <c r="P342"/>
    </row>
    <row r="343" spans="5:16" x14ac:dyDescent="0.5">
      <c r="E343"/>
      <c r="F343"/>
      <c r="G343"/>
      <c r="H343"/>
      <c r="I343"/>
      <c r="J343"/>
      <c r="K343"/>
      <c r="L343"/>
      <c r="M343"/>
      <c r="N343"/>
      <c r="O343"/>
      <c r="P343"/>
    </row>
    <row r="344" spans="5:16" x14ac:dyDescent="0.5">
      <c r="E344"/>
      <c r="F344"/>
      <c r="G344"/>
      <c r="H344"/>
      <c r="I344"/>
      <c r="J344"/>
      <c r="K344"/>
      <c r="L344"/>
      <c r="M344"/>
      <c r="N344"/>
      <c r="O344"/>
      <c r="P344"/>
    </row>
    <row r="345" spans="5:16" x14ac:dyDescent="0.5">
      <c r="E345"/>
      <c r="F345"/>
      <c r="G345"/>
      <c r="H345"/>
      <c r="I345"/>
      <c r="J345"/>
      <c r="K345"/>
      <c r="L345"/>
      <c r="M345"/>
      <c r="N345"/>
      <c r="O345"/>
      <c r="P345"/>
    </row>
    <row r="346" spans="5:16" x14ac:dyDescent="0.5">
      <c r="E346"/>
      <c r="F346"/>
      <c r="G346"/>
      <c r="H346"/>
      <c r="I346"/>
      <c r="J346"/>
      <c r="K346"/>
      <c r="L346"/>
      <c r="M346"/>
      <c r="N346"/>
      <c r="O346"/>
      <c r="P346"/>
    </row>
    <row r="347" spans="5:16" x14ac:dyDescent="0.5">
      <c r="E347"/>
      <c r="F347"/>
      <c r="G347"/>
      <c r="H347"/>
      <c r="I347"/>
      <c r="J347"/>
      <c r="K347"/>
      <c r="L347"/>
      <c r="M347"/>
      <c r="N347"/>
      <c r="O347"/>
      <c r="P347"/>
    </row>
    <row r="348" spans="5:16" x14ac:dyDescent="0.5">
      <c r="E348"/>
      <c r="F348"/>
      <c r="G348"/>
      <c r="H348"/>
      <c r="I348"/>
      <c r="J348"/>
      <c r="K348"/>
      <c r="L348"/>
      <c r="M348"/>
      <c r="N348"/>
      <c r="O348"/>
      <c r="P348"/>
    </row>
    <row r="349" spans="5:16" x14ac:dyDescent="0.5">
      <c r="E349"/>
      <c r="F349"/>
      <c r="G349"/>
      <c r="H349"/>
      <c r="I349"/>
      <c r="J349"/>
      <c r="K349"/>
      <c r="L349"/>
      <c r="M349"/>
      <c r="N349"/>
      <c r="O349"/>
      <c r="P349"/>
    </row>
    <row r="350" spans="5:16" x14ac:dyDescent="0.5">
      <c r="E350"/>
      <c r="F350"/>
      <c r="G350"/>
      <c r="H350"/>
      <c r="I350"/>
      <c r="J350"/>
      <c r="K350"/>
      <c r="L350"/>
      <c r="M350"/>
      <c r="N350"/>
      <c r="O350"/>
      <c r="P350"/>
    </row>
    <row r="351" spans="5:16" x14ac:dyDescent="0.5">
      <c r="E351"/>
      <c r="F351"/>
      <c r="G351"/>
      <c r="H351"/>
      <c r="I351"/>
      <c r="J351"/>
      <c r="K351"/>
      <c r="L351"/>
      <c r="M351"/>
      <c r="N351"/>
      <c r="O351"/>
      <c r="P351"/>
    </row>
    <row r="352" spans="5:16" x14ac:dyDescent="0.5">
      <c r="E352"/>
      <c r="F352"/>
      <c r="G352"/>
      <c r="H352"/>
      <c r="I352"/>
      <c r="J352"/>
      <c r="K352"/>
      <c r="L352"/>
      <c r="M352"/>
      <c r="N352"/>
      <c r="O352"/>
      <c r="P352"/>
    </row>
    <row r="353" spans="5:16" x14ac:dyDescent="0.5">
      <c r="E353"/>
      <c r="F353"/>
      <c r="G353"/>
      <c r="H353"/>
      <c r="I353"/>
      <c r="J353"/>
      <c r="K353"/>
      <c r="L353"/>
      <c r="M353"/>
      <c r="N353"/>
      <c r="O353"/>
      <c r="P353"/>
    </row>
    <row r="354" spans="5:16" x14ac:dyDescent="0.5">
      <c r="E354"/>
      <c r="F354"/>
      <c r="G354"/>
      <c r="H354"/>
      <c r="I354"/>
      <c r="J354"/>
      <c r="K354"/>
      <c r="L354"/>
      <c r="M354"/>
      <c r="N354"/>
      <c r="O354"/>
      <c r="P354"/>
    </row>
    <row r="355" spans="5:16" x14ac:dyDescent="0.5">
      <c r="E355"/>
      <c r="F355"/>
      <c r="G355"/>
      <c r="H355"/>
      <c r="I355"/>
      <c r="J355"/>
      <c r="K355"/>
      <c r="L355"/>
      <c r="M355"/>
      <c r="N355"/>
      <c r="O355"/>
      <c r="P355"/>
    </row>
    <row r="356" spans="5:16" x14ac:dyDescent="0.5">
      <c r="E356"/>
      <c r="F356"/>
      <c r="G356"/>
      <c r="H356"/>
      <c r="I356"/>
      <c r="J356"/>
      <c r="K356"/>
      <c r="L356"/>
      <c r="M356"/>
      <c r="N356"/>
      <c r="O356"/>
      <c r="P356"/>
    </row>
    <row r="357" spans="5:16" x14ac:dyDescent="0.5">
      <c r="E357"/>
      <c r="F357"/>
      <c r="G357"/>
      <c r="H357"/>
      <c r="I357"/>
      <c r="J357"/>
      <c r="K357"/>
      <c r="L357"/>
      <c r="M357"/>
      <c r="N357"/>
      <c r="O357"/>
      <c r="P357"/>
    </row>
    <row r="358" spans="5:16" x14ac:dyDescent="0.5">
      <c r="E358"/>
      <c r="F358"/>
      <c r="G358"/>
      <c r="H358"/>
      <c r="I358"/>
      <c r="J358"/>
      <c r="K358"/>
      <c r="L358"/>
      <c r="M358"/>
      <c r="N358"/>
      <c r="O358"/>
      <c r="P358"/>
    </row>
    <row r="359" spans="5:16" x14ac:dyDescent="0.5">
      <c r="E359"/>
      <c r="F359"/>
      <c r="G359"/>
      <c r="H359"/>
      <c r="I359"/>
      <c r="J359"/>
      <c r="K359"/>
      <c r="L359"/>
      <c r="M359"/>
      <c r="N359"/>
      <c r="O359"/>
      <c r="P359"/>
    </row>
    <row r="360" spans="5:16" x14ac:dyDescent="0.5">
      <c r="E360"/>
      <c r="F360"/>
      <c r="G360"/>
      <c r="H360"/>
      <c r="I360"/>
      <c r="J360"/>
      <c r="K360"/>
      <c r="L360"/>
      <c r="M360"/>
      <c r="N360"/>
      <c r="O360"/>
      <c r="P360"/>
    </row>
    <row r="361" spans="5:16" x14ac:dyDescent="0.5">
      <c r="E361"/>
      <c r="F361"/>
      <c r="G361"/>
      <c r="H361"/>
      <c r="I361"/>
      <c r="J361"/>
      <c r="K361"/>
      <c r="L361"/>
      <c r="M361"/>
      <c r="N361"/>
      <c r="O361"/>
      <c r="P361"/>
    </row>
    <row r="362" spans="5:16" x14ac:dyDescent="0.5">
      <c r="E362"/>
      <c r="F362"/>
      <c r="G362"/>
      <c r="H362"/>
      <c r="I362"/>
      <c r="J362"/>
      <c r="K362"/>
      <c r="L362"/>
      <c r="M362"/>
      <c r="N362"/>
      <c r="O362"/>
      <c r="P362"/>
    </row>
    <row r="363" spans="5:16" x14ac:dyDescent="0.5">
      <c r="E363"/>
      <c r="F363"/>
      <c r="G363"/>
      <c r="H363"/>
      <c r="I363"/>
      <c r="J363"/>
      <c r="K363"/>
      <c r="L363"/>
      <c r="M363"/>
      <c r="N363"/>
      <c r="O363"/>
      <c r="P363"/>
    </row>
    <row r="364" spans="5:16" x14ac:dyDescent="0.5">
      <c r="E364"/>
      <c r="F364"/>
      <c r="G364"/>
      <c r="H364"/>
      <c r="I364"/>
      <c r="J364"/>
      <c r="K364"/>
      <c r="L364"/>
      <c r="M364"/>
      <c r="N364"/>
      <c r="O364"/>
      <c r="P364"/>
    </row>
    <row r="365" spans="5:16" x14ac:dyDescent="0.5">
      <c r="E365"/>
      <c r="F365"/>
      <c r="G365"/>
      <c r="H365"/>
      <c r="I365"/>
      <c r="J365"/>
      <c r="K365"/>
      <c r="L365"/>
      <c r="M365"/>
      <c r="N365"/>
      <c r="O365"/>
      <c r="P365"/>
    </row>
    <row r="366" spans="5:16" x14ac:dyDescent="0.5">
      <c r="E366"/>
      <c r="F366"/>
      <c r="G366"/>
      <c r="H366"/>
      <c r="I366"/>
      <c r="J366"/>
      <c r="K366"/>
      <c r="L366"/>
      <c r="M366"/>
      <c r="N366"/>
      <c r="O366"/>
      <c r="P366"/>
    </row>
    <row r="367" spans="5:16" x14ac:dyDescent="0.5">
      <c r="E367"/>
      <c r="F367"/>
      <c r="G367"/>
      <c r="H367"/>
      <c r="I367"/>
      <c r="J367"/>
      <c r="K367"/>
      <c r="L367"/>
      <c r="M367"/>
      <c r="N367"/>
      <c r="O367"/>
      <c r="P367"/>
    </row>
    <row r="368" spans="5:16" x14ac:dyDescent="0.5">
      <c r="E368"/>
      <c r="F368"/>
      <c r="G368"/>
      <c r="H368"/>
      <c r="I368"/>
      <c r="J368"/>
      <c r="K368"/>
      <c r="L368"/>
      <c r="M368"/>
      <c r="N368"/>
      <c r="O368"/>
      <c r="P368"/>
    </row>
    <row r="369" spans="5:16" x14ac:dyDescent="0.5">
      <c r="E369"/>
      <c r="F369"/>
      <c r="G369"/>
      <c r="H369"/>
      <c r="I369"/>
      <c r="J369"/>
      <c r="K369"/>
      <c r="L369"/>
      <c r="M369"/>
      <c r="N369"/>
      <c r="O369"/>
      <c r="P369"/>
    </row>
    <row r="370" spans="5:16" x14ac:dyDescent="0.5">
      <c r="E370"/>
      <c r="F370"/>
      <c r="G370"/>
      <c r="H370"/>
      <c r="I370"/>
      <c r="J370"/>
      <c r="K370"/>
      <c r="L370"/>
      <c r="M370"/>
      <c r="N370"/>
      <c r="O370"/>
      <c r="P370"/>
    </row>
    <row r="371" spans="5:16" x14ac:dyDescent="0.5">
      <c r="E371"/>
      <c r="F371"/>
      <c r="G371"/>
      <c r="H371"/>
      <c r="I371"/>
      <c r="J371"/>
      <c r="K371"/>
      <c r="L371"/>
      <c r="M371"/>
      <c r="N371"/>
      <c r="O371"/>
      <c r="P371"/>
    </row>
    <row r="372" spans="5:16" x14ac:dyDescent="0.5">
      <c r="E372"/>
      <c r="F372"/>
      <c r="G372"/>
      <c r="H372"/>
      <c r="I372"/>
      <c r="J372"/>
      <c r="K372"/>
      <c r="L372"/>
      <c r="M372"/>
      <c r="N372"/>
      <c r="O372"/>
      <c r="P372"/>
    </row>
    <row r="373" spans="5:16" x14ac:dyDescent="0.5">
      <c r="E373"/>
      <c r="F373"/>
      <c r="G373"/>
      <c r="H373"/>
      <c r="I373"/>
      <c r="J373"/>
      <c r="K373"/>
      <c r="L373"/>
      <c r="M373"/>
      <c r="N373"/>
      <c r="O373"/>
      <c r="P373"/>
    </row>
    <row r="374" spans="5:16" x14ac:dyDescent="0.5">
      <c r="E374"/>
      <c r="F374"/>
      <c r="G374"/>
      <c r="H374"/>
      <c r="I374"/>
      <c r="J374"/>
      <c r="K374"/>
      <c r="L374"/>
      <c r="M374"/>
      <c r="N374"/>
      <c r="O374"/>
      <c r="P374"/>
    </row>
    <row r="375" spans="5:16" x14ac:dyDescent="0.5">
      <c r="E375"/>
      <c r="F375"/>
      <c r="G375"/>
      <c r="H375"/>
      <c r="I375"/>
      <c r="J375"/>
      <c r="K375"/>
      <c r="L375"/>
      <c r="M375"/>
      <c r="N375"/>
      <c r="O375"/>
      <c r="P375"/>
    </row>
    <row r="376" spans="5:16" x14ac:dyDescent="0.5">
      <c r="E376"/>
      <c r="F376"/>
      <c r="G376"/>
      <c r="H376"/>
      <c r="I376"/>
      <c r="J376"/>
      <c r="K376"/>
      <c r="L376"/>
      <c r="M376"/>
      <c r="N376"/>
      <c r="O376"/>
      <c r="P376"/>
    </row>
    <row r="377" spans="5:16" x14ac:dyDescent="0.5">
      <c r="E377"/>
      <c r="F377"/>
      <c r="G377"/>
      <c r="H377"/>
      <c r="I377"/>
      <c r="J377"/>
      <c r="K377"/>
      <c r="L377"/>
      <c r="M377"/>
      <c r="N377"/>
      <c r="O377"/>
      <c r="P377"/>
    </row>
    <row r="378" spans="5:16" x14ac:dyDescent="0.5">
      <c r="E378"/>
      <c r="F378"/>
      <c r="G378"/>
      <c r="H378"/>
      <c r="I378"/>
      <c r="J378"/>
      <c r="K378"/>
      <c r="L378"/>
      <c r="M378"/>
      <c r="N378"/>
      <c r="O378"/>
      <c r="P378"/>
    </row>
    <row r="379" spans="5:16" x14ac:dyDescent="0.5">
      <c r="E379"/>
      <c r="F379"/>
      <c r="G379"/>
      <c r="H379"/>
      <c r="I379"/>
      <c r="J379"/>
      <c r="K379"/>
      <c r="L379"/>
      <c r="M379"/>
      <c r="N379"/>
      <c r="O379"/>
      <c r="P379"/>
    </row>
    <row r="380" spans="5:16" x14ac:dyDescent="0.5">
      <c r="E380"/>
      <c r="F380"/>
      <c r="G380"/>
      <c r="H380"/>
      <c r="I380"/>
      <c r="J380"/>
      <c r="K380"/>
      <c r="L380"/>
      <c r="M380"/>
      <c r="N380"/>
      <c r="O380"/>
      <c r="P380"/>
    </row>
    <row r="381" spans="5:16" x14ac:dyDescent="0.5">
      <c r="E381"/>
      <c r="F381"/>
      <c r="G381"/>
      <c r="H381"/>
      <c r="I381"/>
      <c r="J381"/>
      <c r="K381"/>
      <c r="L381"/>
      <c r="M381"/>
      <c r="N381"/>
      <c r="O381"/>
      <c r="P381"/>
    </row>
    <row r="382" spans="5:16" x14ac:dyDescent="0.5">
      <c r="E382"/>
      <c r="F382"/>
      <c r="G382"/>
      <c r="H382"/>
      <c r="I382"/>
      <c r="J382"/>
      <c r="K382"/>
      <c r="L382"/>
      <c r="M382"/>
      <c r="N382"/>
      <c r="O382"/>
      <c r="P382"/>
    </row>
    <row r="383" spans="5:16" x14ac:dyDescent="0.5">
      <c r="E383"/>
      <c r="F383"/>
      <c r="G383"/>
      <c r="H383"/>
      <c r="I383"/>
      <c r="J383"/>
      <c r="K383"/>
      <c r="L383"/>
      <c r="M383"/>
      <c r="N383"/>
      <c r="O383"/>
      <c r="P383"/>
    </row>
    <row r="384" spans="5:16" x14ac:dyDescent="0.5">
      <c r="E384"/>
      <c r="F384"/>
      <c r="G384"/>
      <c r="H384"/>
      <c r="I384"/>
      <c r="J384"/>
      <c r="K384"/>
      <c r="L384"/>
      <c r="M384"/>
      <c r="N384"/>
      <c r="O384"/>
      <c r="P384"/>
    </row>
    <row r="385" spans="5:16" x14ac:dyDescent="0.5">
      <c r="E385"/>
      <c r="F385"/>
      <c r="G385"/>
      <c r="H385"/>
      <c r="I385"/>
      <c r="J385"/>
      <c r="K385"/>
      <c r="L385"/>
      <c r="M385"/>
      <c r="N385"/>
      <c r="O385"/>
      <c r="P385"/>
    </row>
    <row r="386" spans="5:16" x14ac:dyDescent="0.5">
      <c r="E386"/>
      <c r="F386"/>
      <c r="G386"/>
      <c r="H386"/>
      <c r="I386"/>
      <c r="J386"/>
      <c r="K386"/>
      <c r="L386"/>
      <c r="M386"/>
      <c r="N386"/>
      <c r="O386"/>
      <c r="P386"/>
    </row>
    <row r="387" spans="5:16" x14ac:dyDescent="0.5">
      <c r="E387"/>
      <c r="F387"/>
      <c r="G387"/>
      <c r="H387"/>
      <c r="I387"/>
      <c r="J387"/>
      <c r="K387"/>
      <c r="L387"/>
      <c r="M387"/>
      <c r="N387"/>
      <c r="O387"/>
      <c r="P387"/>
    </row>
    <row r="388" spans="5:16" x14ac:dyDescent="0.5">
      <c r="E388"/>
      <c r="F388"/>
      <c r="G388"/>
      <c r="H388"/>
      <c r="I388"/>
      <c r="J388"/>
      <c r="K388"/>
      <c r="L388"/>
      <c r="M388"/>
      <c r="N388"/>
      <c r="O388"/>
      <c r="P388"/>
    </row>
    <row r="389" spans="5:16" x14ac:dyDescent="0.5">
      <c r="E389"/>
      <c r="F389"/>
      <c r="G389"/>
      <c r="H389"/>
      <c r="I389"/>
      <c r="J389"/>
      <c r="K389"/>
      <c r="L389"/>
      <c r="M389"/>
      <c r="N389"/>
      <c r="O389"/>
      <c r="P389"/>
    </row>
    <row r="390" spans="5:16" x14ac:dyDescent="0.5">
      <c r="E390"/>
      <c r="F390"/>
      <c r="G390"/>
      <c r="H390"/>
      <c r="I390"/>
      <c r="J390"/>
      <c r="K390"/>
      <c r="L390"/>
      <c r="M390"/>
      <c r="N390"/>
      <c r="O390"/>
      <c r="P390"/>
    </row>
    <row r="391" spans="5:16" x14ac:dyDescent="0.5">
      <c r="E391"/>
      <c r="F391"/>
      <c r="G391"/>
      <c r="H391"/>
      <c r="I391"/>
      <c r="J391"/>
      <c r="K391"/>
      <c r="L391"/>
      <c r="M391"/>
      <c r="N391"/>
      <c r="O391"/>
      <c r="P391"/>
    </row>
    <row r="392" spans="5:16" x14ac:dyDescent="0.5">
      <c r="E392"/>
      <c r="F392"/>
      <c r="G392"/>
      <c r="H392"/>
      <c r="I392"/>
      <c r="J392"/>
      <c r="K392"/>
      <c r="L392"/>
      <c r="M392"/>
      <c r="N392"/>
      <c r="O392"/>
      <c r="P392"/>
    </row>
    <row r="393" spans="5:16" x14ac:dyDescent="0.5">
      <c r="E393"/>
      <c r="F393"/>
      <c r="G393"/>
      <c r="H393"/>
      <c r="I393"/>
      <c r="J393"/>
      <c r="K393"/>
      <c r="L393"/>
      <c r="M393"/>
      <c r="N393"/>
      <c r="O393"/>
      <c r="P393"/>
    </row>
    <row r="394" spans="5:16" x14ac:dyDescent="0.5">
      <c r="E394"/>
      <c r="F394"/>
      <c r="G394"/>
      <c r="H394"/>
      <c r="I394"/>
      <c r="J394"/>
      <c r="K394"/>
      <c r="L394"/>
      <c r="M394"/>
      <c r="N394"/>
      <c r="O394"/>
      <c r="P394"/>
    </row>
    <row r="395" spans="5:16" x14ac:dyDescent="0.5">
      <c r="E395"/>
      <c r="F395"/>
      <c r="G395"/>
      <c r="H395"/>
      <c r="I395"/>
      <c r="J395"/>
      <c r="K395"/>
      <c r="L395"/>
      <c r="M395"/>
      <c r="N395"/>
      <c r="O395"/>
      <c r="P395"/>
    </row>
    <row r="396" spans="5:16" x14ac:dyDescent="0.5">
      <c r="E396"/>
      <c r="F396"/>
      <c r="G396"/>
      <c r="H396"/>
      <c r="I396"/>
      <c r="J396"/>
      <c r="K396"/>
      <c r="L396"/>
      <c r="M396"/>
      <c r="N396"/>
      <c r="O396"/>
      <c r="P396"/>
    </row>
    <row r="397" spans="5:16" x14ac:dyDescent="0.5">
      <c r="E397"/>
      <c r="F397"/>
      <c r="G397"/>
      <c r="H397"/>
      <c r="I397"/>
      <c r="J397"/>
      <c r="K397"/>
      <c r="L397"/>
      <c r="M397"/>
      <c r="N397"/>
      <c r="O397"/>
      <c r="P397"/>
    </row>
    <row r="398" spans="5:16" x14ac:dyDescent="0.5">
      <c r="E398"/>
      <c r="F398"/>
      <c r="G398"/>
      <c r="H398"/>
      <c r="I398"/>
      <c r="J398"/>
      <c r="K398"/>
      <c r="L398"/>
      <c r="M398"/>
      <c r="N398"/>
      <c r="O398"/>
      <c r="P398"/>
    </row>
    <row r="399" spans="5:16" x14ac:dyDescent="0.5">
      <c r="E399"/>
      <c r="F399"/>
      <c r="G399"/>
      <c r="H399"/>
      <c r="I399"/>
      <c r="J399"/>
      <c r="K399"/>
      <c r="L399"/>
      <c r="M399"/>
      <c r="N399"/>
      <c r="O399"/>
      <c r="P399"/>
    </row>
    <row r="400" spans="5:16" x14ac:dyDescent="0.5">
      <c r="E400"/>
      <c r="F400"/>
      <c r="G400"/>
      <c r="H400"/>
      <c r="I400"/>
      <c r="J400"/>
      <c r="K400"/>
      <c r="L400"/>
      <c r="M400"/>
      <c r="N400"/>
      <c r="O400"/>
      <c r="P400"/>
    </row>
    <row r="401" spans="5:16" x14ac:dyDescent="0.5">
      <c r="E401"/>
      <c r="F401"/>
      <c r="G401"/>
      <c r="H401"/>
      <c r="I401"/>
      <c r="J401"/>
      <c r="K401"/>
      <c r="L401"/>
      <c r="M401"/>
      <c r="N401"/>
      <c r="O401"/>
      <c r="P401"/>
    </row>
    <row r="402" spans="5:16" x14ac:dyDescent="0.5">
      <c r="E402"/>
      <c r="F402"/>
      <c r="G402"/>
      <c r="H402"/>
      <c r="I402"/>
      <c r="J402"/>
      <c r="K402"/>
      <c r="L402"/>
      <c r="M402"/>
      <c r="N402"/>
      <c r="O402"/>
      <c r="P402"/>
    </row>
    <row r="403" spans="5:16" x14ac:dyDescent="0.5">
      <c r="E403"/>
      <c r="F403"/>
      <c r="G403"/>
      <c r="H403"/>
      <c r="I403"/>
      <c r="J403"/>
      <c r="K403"/>
      <c r="L403"/>
      <c r="M403"/>
      <c r="N403"/>
      <c r="O403"/>
      <c r="P403"/>
    </row>
    <row r="404" spans="5:16" x14ac:dyDescent="0.5">
      <c r="E404"/>
      <c r="F404"/>
      <c r="G404"/>
      <c r="H404"/>
      <c r="I404"/>
      <c r="J404"/>
      <c r="K404"/>
      <c r="L404"/>
      <c r="M404"/>
      <c r="N404"/>
      <c r="O404"/>
      <c r="P404"/>
    </row>
    <row r="405" spans="5:16" x14ac:dyDescent="0.5">
      <c r="E405"/>
      <c r="F405"/>
      <c r="G405"/>
      <c r="H405"/>
      <c r="I405"/>
      <c r="J405"/>
      <c r="K405"/>
      <c r="L405"/>
      <c r="M405"/>
      <c r="N405"/>
      <c r="O405"/>
      <c r="P405"/>
    </row>
    <row r="406" spans="5:16" x14ac:dyDescent="0.5">
      <c r="E406"/>
      <c r="F406"/>
      <c r="G406"/>
      <c r="H406"/>
      <c r="I406"/>
      <c r="J406"/>
      <c r="K406"/>
      <c r="L406"/>
      <c r="M406"/>
      <c r="N406"/>
      <c r="O406"/>
      <c r="P406"/>
    </row>
    <row r="407" spans="5:16" x14ac:dyDescent="0.5">
      <c r="E407"/>
      <c r="F407"/>
      <c r="G407"/>
      <c r="H407"/>
      <c r="I407"/>
      <c r="J407"/>
      <c r="K407"/>
      <c r="L407"/>
      <c r="M407"/>
      <c r="N407"/>
      <c r="O407"/>
      <c r="P407"/>
    </row>
    <row r="408" spans="5:16" x14ac:dyDescent="0.5">
      <c r="E408"/>
      <c r="F408"/>
      <c r="G408"/>
      <c r="H408"/>
      <c r="I408"/>
      <c r="J408"/>
      <c r="K408"/>
      <c r="L408"/>
      <c r="M408"/>
      <c r="N408"/>
      <c r="O408"/>
      <c r="P408"/>
    </row>
    <row r="409" spans="5:16" x14ac:dyDescent="0.5">
      <c r="E409"/>
      <c r="F409"/>
      <c r="G409"/>
      <c r="H409"/>
      <c r="I409"/>
      <c r="J409"/>
      <c r="K409"/>
      <c r="L409"/>
      <c r="M409"/>
      <c r="N409"/>
      <c r="O409"/>
      <c r="P409"/>
    </row>
    <row r="410" spans="5:16" x14ac:dyDescent="0.5">
      <c r="E410"/>
      <c r="F410"/>
      <c r="G410"/>
      <c r="H410"/>
      <c r="I410"/>
      <c r="J410"/>
      <c r="K410"/>
      <c r="L410"/>
      <c r="M410"/>
      <c r="N410"/>
      <c r="O410"/>
      <c r="P410"/>
    </row>
    <row r="411" spans="5:16" x14ac:dyDescent="0.5">
      <c r="E411"/>
      <c r="F411"/>
      <c r="G411"/>
      <c r="H411"/>
      <c r="I411"/>
      <c r="J411"/>
      <c r="K411"/>
      <c r="L411"/>
      <c r="M411"/>
      <c r="N411"/>
      <c r="O411"/>
      <c r="P411"/>
    </row>
    <row r="412" spans="5:16" x14ac:dyDescent="0.5">
      <c r="E412"/>
      <c r="F412"/>
      <c r="G412"/>
      <c r="H412"/>
      <c r="I412"/>
      <c r="J412"/>
      <c r="K412"/>
      <c r="L412"/>
      <c r="M412"/>
      <c r="N412"/>
      <c r="O412"/>
      <c r="P412"/>
    </row>
    <row r="413" spans="5:16" x14ac:dyDescent="0.5">
      <c r="E413"/>
      <c r="F413"/>
      <c r="G413"/>
      <c r="H413"/>
      <c r="I413"/>
      <c r="J413"/>
      <c r="K413"/>
      <c r="L413"/>
      <c r="M413"/>
      <c r="N413"/>
      <c r="O413"/>
      <c r="P413"/>
    </row>
    <row r="414" spans="5:16" x14ac:dyDescent="0.5">
      <c r="E414"/>
      <c r="F414"/>
      <c r="G414"/>
      <c r="H414"/>
      <c r="I414"/>
      <c r="J414"/>
      <c r="K414"/>
      <c r="L414"/>
      <c r="M414"/>
      <c r="N414"/>
      <c r="O414"/>
      <c r="P414"/>
    </row>
    <row r="415" spans="5:16" x14ac:dyDescent="0.5">
      <c r="E415"/>
      <c r="F415"/>
      <c r="G415"/>
      <c r="H415"/>
      <c r="I415"/>
      <c r="J415"/>
      <c r="K415"/>
      <c r="L415"/>
      <c r="M415"/>
      <c r="N415"/>
      <c r="O415"/>
      <c r="P415"/>
    </row>
    <row r="416" spans="5:16" x14ac:dyDescent="0.5">
      <c r="E416"/>
      <c r="F416"/>
      <c r="G416"/>
      <c r="H416"/>
      <c r="I416"/>
      <c r="J416"/>
      <c r="K416"/>
      <c r="L416"/>
      <c r="M416"/>
      <c r="N416"/>
      <c r="O416"/>
      <c r="P416"/>
    </row>
    <row r="417" spans="5:16" x14ac:dyDescent="0.5">
      <c r="E417"/>
      <c r="F417"/>
      <c r="G417"/>
      <c r="H417"/>
      <c r="I417"/>
      <c r="J417"/>
      <c r="K417"/>
      <c r="L417"/>
      <c r="M417"/>
      <c r="N417"/>
      <c r="O417"/>
      <c r="P417"/>
    </row>
    <row r="418" spans="5:16" x14ac:dyDescent="0.5">
      <c r="E418"/>
      <c r="F418"/>
      <c r="G418"/>
      <c r="H418"/>
      <c r="I418"/>
      <c r="J418"/>
      <c r="K418"/>
      <c r="L418"/>
      <c r="M418"/>
      <c r="N418"/>
      <c r="O418"/>
      <c r="P418"/>
    </row>
    <row r="419" spans="5:16" x14ac:dyDescent="0.5">
      <c r="E419"/>
      <c r="F419"/>
      <c r="G419"/>
      <c r="H419"/>
      <c r="I419"/>
      <c r="J419"/>
      <c r="K419"/>
      <c r="L419"/>
      <c r="M419"/>
      <c r="N419"/>
      <c r="O419"/>
      <c r="P419"/>
    </row>
    <row r="420" spans="5:16" x14ac:dyDescent="0.5">
      <c r="E420"/>
      <c r="F420"/>
      <c r="G420"/>
      <c r="H420"/>
      <c r="I420"/>
      <c r="J420"/>
      <c r="K420"/>
      <c r="L420"/>
      <c r="M420"/>
      <c r="N420"/>
      <c r="O420"/>
      <c r="P420"/>
    </row>
    <row r="421" spans="5:16" x14ac:dyDescent="0.5">
      <c r="E421"/>
      <c r="F421"/>
      <c r="G421"/>
      <c r="H421"/>
      <c r="I421"/>
      <c r="J421"/>
      <c r="K421"/>
      <c r="L421"/>
      <c r="M421"/>
      <c r="N421"/>
      <c r="O421"/>
      <c r="P421"/>
    </row>
    <row r="422" spans="5:16" x14ac:dyDescent="0.5">
      <c r="E422"/>
      <c r="F422"/>
      <c r="G422"/>
      <c r="H422"/>
      <c r="I422"/>
      <c r="J422"/>
      <c r="K422"/>
      <c r="L422"/>
      <c r="M422"/>
      <c r="N422"/>
      <c r="O422"/>
      <c r="P422"/>
    </row>
    <row r="423" spans="5:16" x14ac:dyDescent="0.5">
      <c r="E423"/>
      <c r="F423"/>
      <c r="G423"/>
      <c r="H423"/>
      <c r="I423"/>
      <c r="J423"/>
      <c r="K423"/>
      <c r="L423"/>
      <c r="M423"/>
      <c r="N423"/>
      <c r="O423"/>
      <c r="P423"/>
    </row>
    <row r="424" spans="5:16" x14ac:dyDescent="0.5">
      <c r="E424"/>
      <c r="F424"/>
      <c r="G424"/>
      <c r="H424"/>
      <c r="I424"/>
      <c r="J424"/>
      <c r="K424"/>
      <c r="L424"/>
      <c r="M424"/>
      <c r="N424"/>
      <c r="O424"/>
      <c r="P424"/>
    </row>
    <row r="425" spans="5:16" x14ac:dyDescent="0.5">
      <c r="E425"/>
      <c r="F425"/>
      <c r="G425"/>
      <c r="H425"/>
      <c r="I425"/>
      <c r="J425"/>
      <c r="K425"/>
      <c r="L425"/>
      <c r="M425"/>
      <c r="N425"/>
      <c r="O425"/>
      <c r="P425"/>
    </row>
    <row r="426" spans="5:16" x14ac:dyDescent="0.5">
      <c r="E426"/>
      <c r="F426"/>
      <c r="G426"/>
      <c r="H426"/>
      <c r="I426"/>
      <c r="J426"/>
      <c r="K426"/>
      <c r="L426"/>
      <c r="M426"/>
      <c r="N426"/>
      <c r="O426"/>
      <c r="P426"/>
    </row>
    <row r="427" spans="5:16" x14ac:dyDescent="0.5">
      <c r="E427"/>
      <c r="F427"/>
      <c r="G427"/>
      <c r="H427"/>
      <c r="I427"/>
      <c r="J427"/>
      <c r="K427"/>
      <c r="L427"/>
      <c r="M427"/>
      <c r="N427"/>
      <c r="O427"/>
      <c r="P427"/>
    </row>
    <row r="428" spans="5:16" x14ac:dyDescent="0.5">
      <c r="E428"/>
      <c r="F428"/>
      <c r="G428"/>
      <c r="H428"/>
      <c r="I428"/>
      <c r="J428"/>
      <c r="K428"/>
      <c r="L428"/>
      <c r="M428"/>
      <c r="N428"/>
      <c r="O428"/>
      <c r="P428"/>
    </row>
    <row r="429" spans="5:16" x14ac:dyDescent="0.5">
      <c r="E429"/>
      <c r="F429"/>
      <c r="G429"/>
      <c r="H429"/>
      <c r="I429"/>
      <c r="J429"/>
      <c r="K429"/>
      <c r="L429"/>
      <c r="M429"/>
      <c r="N429"/>
      <c r="O429"/>
      <c r="P429"/>
    </row>
    <row r="430" spans="5:16" x14ac:dyDescent="0.5">
      <c r="E430"/>
      <c r="F430"/>
      <c r="G430"/>
      <c r="H430"/>
      <c r="I430"/>
      <c r="J430"/>
      <c r="K430"/>
      <c r="L430"/>
      <c r="M430"/>
      <c r="N430"/>
      <c r="O430"/>
      <c r="P430"/>
    </row>
    <row r="431" spans="5:16" x14ac:dyDescent="0.5">
      <c r="E431"/>
      <c r="F431"/>
      <c r="G431"/>
      <c r="H431"/>
      <c r="I431"/>
      <c r="J431"/>
      <c r="K431"/>
      <c r="L431"/>
      <c r="M431"/>
      <c r="N431"/>
      <c r="O431"/>
      <c r="P431"/>
    </row>
    <row r="432" spans="5:16" x14ac:dyDescent="0.5">
      <c r="E432"/>
      <c r="F432"/>
      <c r="G432"/>
      <c r="H432"/>
      <c r="I432"/>
      <c r="J432"/>
      <c r="K432"/>
      <c r="L432"/>
      <c r="M432"/>
      <c r="N432"/>
      <c r="O432"/>
      <c r="P432"/>
    </row>
    <row r="433" spans="5:16" x14ac:dyDescent="0.5">
      <c r="E433"/>
      <c r="F433"/>
      <c r="G433"/>
      <c r="H433"/>
      <c r="I433"/>
      <c r="J433"/>
      <c r="K433"/>
      <c r="L433"/>
      <c r="M433"/>
      <c r="N433"/>
      <c r="O433"/>
      <c r="P433"/>
    </row>
    <row r="434" spans="5:16" x14ac:dyDescent="0.5">
      <c r="E434"/>
      <c r="F434"/>
      <c r="G434"/>
      <c r="H434"/>
      <c r="I434"/>
      <c r="J434"/>
      <c r="K434"/>
      <c r="L434"/>
      <c r="M434"/>
      <c r="N434"/>
      <c r="O434"/>
      <c r="P434"/>
    </row>
    <row r="435" spans="5:16" x14ac:dyDescent="0.5">
      <c r="E435"/>
      <c r="F435"/>
      <c r="G435"/>
      <c r="H435"/>
      <c r="I435"/>
      <c r="J435"/>
      <c r="K435"/>
      <c r="L435"/>
      <c r="M435"/>
      <c r="N435"/>
      <c r="O435"/>
      <c r="P435"/>
    </row>
    <row r="436" spans="5:16" x14ac:dyDescent="0.5">
      <c r="E436"/>
      <c r="F436"/>
      <c r="G436"/>
      <c r="H436"/>
      <c r="I436"/>
      <c r="J436"/>
      <c r="K436"/>
      <c r="L436"/>
      <c r="M436"/>
      <c r="N436"/>
      <c r="O436"/>
      <c r="P436"/>
    </row>
    <row r="437" spans="5:16" x14ac:dyDescent="0.5">
      <c r="E437"/>
      <c r="F437"/>
      <c r="G437"/>
      <c r="H437"/>
      <c r="I437"/>
      <c r="J437"/>
      <c r="K437"/>
      <c r="L437"/>
      <c r="M437"/>
      <c r="N437"/>
      <c r="O437"/>
      <c r="P437"/>
    </row>
    <row r="438" spans="5:16" x14ac:dyDescent="0.5">
      <c r="E438"/>
      <c r="F438"/>
      <c r="G438"/>
      <c r="H438"/>
      <c r="I438"/>
      <c r="J438"/>
      <c r="K438"/>
      <c r="L438"/>
      <c r="M438"/>
      <c r="N438"/>
      <c r="O438"/>
      <c r="P438"/>
    </row>
    <row r="439" spans="5:16" x14ac:dyDescent="0.5">
      <c r="E439"/>
      <c r="F439"/>
      <c r="G439"/>
      <c r="H439"/>
      <c r="I439"/>
      <c r="J439"/>
      <c r="K439"/>
      <c r="L439"/>
      <c r="M439"/>
      <c r="N439"/>
      <c r="O439"/>
      <c r="P439"/>
    </row>
    <row r="440" spans="5:16" x14ac:dyDescent="0.5">
      <c r="E440"/>
      <c r="F440"/>
      <c r="G440"/>
      <c r="H440"/>
      <c r="I440"/>
      <c r="J440"/>
      <c r="K440"/>
      <c r="L440"/>
      <c r="M440"/>
      <c r="N440"/>
      <c r="O440"/>
      <c r="P440"/>
    </row>
    <row r="441" spans="5:16" x14ac:dyDescent="0.5">
      <c r="E441"/>
      <c r="F441"/>
      <c r="G441"/>
      <c r="H441"/>
      <c r="I441"/>
      <c r="J441"/>
      <c r="K441"/>
      <c r="L441"/>
      <c r="M441"/>
      <c r="N441"/>
      <c r="O441"/>
      <c r="P441"/>
    </row>
    <row r="442" spans="5:16" x14ac:dyDescent="0.5">
      <c r="E442"/>
      <c r="F442"/>
      <c r="G442"/>
      <c r="H442"/>
      <c r="I442"/>
      <c r="J442"/>
      <c r="K442"/>
      <c r="L442"/>
      <c r="M442"/>
      <c r="N442"/>
      <c r="O442"/>
      <c r="P442"/>
    </row>
    <row r="443" spans="5:16" x14ac:dyDescent="0.5">
      <c r="E443"/>
      <c r="F443"/>
      <c r="G443"/>
      <c r="H443"/>
      <c r="I443"/>
      <c r="J443"/>
      <c r="K443"/>
      <c r="L443"/>
      <c r="M443"/>
      <c r="N443"/>
      <c r="O443"/>
      <c r="P443"/>
    </row>
    <row r="444" spans="5:16" x14ac:dyDescent="0.5">
      <c r="E444"/>
      <c r="F444"/>
      <c r="G444"/>
      <c r="H444"/>
      <c r="I444"/>
      <c r="J444"/>
      <c r="K444"/>
      <c r="L444"/>
      <c r="M444"/>
      <c r="N444"/>
      <c r="O444"/>
      <c r="P444"/>
    </row>
    <row r="445" spans="5:16" x14ac:dyDescent="0.5">
      <c r="E445"/>
      <c r="F445"/>
      <c r="G445"/>
      <c r="H445"/>
      <c r="I445"/>
      <c r="J445"/>
      <c r="K445"/>
      <c r="L445"/>
      <c r="M445"/>
      <c r="N445"/>
      <c r="O445"/>
      <c r="P445"/>
    </row>
    <row r="446" spans="5:16" x14ac:dyDescent="0.5">
      <c r="E446"/>
      <c r="F446"/>
      <c r="G446"/>
      <c r="H446"/>
      <c r="I446"/>
      <c r="J446"/>
      <c r="K446"/>
      <c r="L446"/>
      <c r="M446"/>
      <c r="N446"/>
      <c r="O446"/>
      <c r="P446"/>
    </row>
    <row r="447" spans="5:16" x14ac:dyDescent="0.5">
      <c r="E447"/>
      <c r="F447"/>
      <c r="G447"/>
      <c r="H447"/>
      <c r="I447"/>
      <c r="J447"/>
      <c r="K447"/>
      <c r="L447"/>
      <c r="M447"/>
      <c r="N447"/>
      <c r="O447"/>
      <c r="P447"/>
    </row>
    <row r="448" spans="5:16" x14ac:dyDescent="0.5">
      <c r="E448"/>
      <c r="F448"/>
      <c r="G448"/>
      <c r="H448"/>
      <c r="I448"/>
      <c r="J448"/>
      <c r="K448"/>
      <c r="L448"/>
      <c r="M448"/>
      <c r="N448"/>
      <c r="O448"/>
      <c r="P448"/>
    </row>
    <row r="449" spans="5:16" x14ac:dyDescent="0.5">
      <c r="E449"/>
      <c r="F449"/>
      <c r="G449"/>
      <c r="H449"/>
      <c r="I449"/>
      <c r="J449"/>
      <c r="K449"/>
      <c r="L449"/>
      <c r="M449"/>
      <c r="N449"/>
      <c r="O449"/>
      <c r="P449"/>
    </row>
    <row r="450" spans="5:16" x14ac:dyDescent="0.5">
      <c r="E450"/>
      <c r="F450"/>
      <c r="G450"/>
      <c r="H450"/>
      <c r="I450"/>
      <c r="J450"/>
      <c r="K450"/>
      <c r="L450"/>
      <c r="M450"/>
      <c r="N450"/>
      <c r="O450"/>
      <c r="P450"/>
    </row>
    <row r="451" spans="5:16" x14ac:dyDescent="0.5">
      <c r="E451"/>
      <c r="F451"/>
      <c r="G451"/>
      <c r="H451"/>
      <c r="I451"/>
      <c r="J451"/>
      <c r="K451"/>
      <c r="L451"/>
      <c r="M451"/>
      <c r="N451"/>
      <c r="O451"/>
      <c r="P451"/>
    </row>
    <row r="452" spans="5:16" x14ac:dyDescent="0.5">
      <c r="E452"/>
      <c r="F452"/>
      <c r="G452"/>
      <c r="H452"/>
      <c r="I452"/>
      <c r="J452"/>
      <c r="K452"/>
      <c r="L452"/>
      <c r="M452"/>
      <c r="N452"/>
      <c r="O452"/>
      <c r="P452"/>
    </row>
    <row r="453" spans="5:16" x14ac:dyDescent="0.5">
      <c r="E453"/>
      <c r="F453"/>
      <c r="G453"/>
      <c r="H453"/>
      <c r="I453"/>
      <c r="J453"/>
      <c r="K453"/>
      <c r="L453"/>
      <c r="M453"/>
      <c r="N453"/>
      <c r="O453"/>
      <c r="P453"/>
    </row>
    <row r="454" spans="5:16" x14ac:dyDescent="0.5">
      <c r="E454"/>
      <c r="F454"/>
      <c r="G454"/>
      <c r="H454"/>
      <c r="I454"/>
      <c r="J454"/>
      <c r="K454"/>
      <c r="L454"/>
      <c r="M454"/>
      <c r="N454"/>
      <c r="O454"/>
      <c r="P454"/>
    </row>
    <row r="455" spans="5:16" x14ac:dyDescent="0.5">
      <c r="E455"/>
      <c r="F455"/>
      <c r="G455"/>
      <c r="H455"/>
      <c r="I455"/>
      <c r="J455"/>
      <c r="K455"/>
      <c r="L455"/>
      <c r="M455"/>
      <c r="N455"/>
      <c r="O455"/>
      <c r="P455"/>
    </row>
    <row r="456" spans="5:16" x14ac:dyDescent="0.5">
      <c r="E456"/>
      <c r="F456"/>
      <c r="G456"/>
      <c r="H456"/>
      <c r="I456"/>
      <c r="J456"/>
      <c r="K456"/>
      <c r="L456"/>
      <c r="M456"/>
      <c r="N456"/>
      <c r="O456"/>
      <c r="P456"/>
    </row>
    <row r="457" spans="5:16" x14ac:dyDescent="0.5">
      <c r="E457"/>
      <c r="F457"/>
      <c r="G457"/>
      <c r="H457"/>
      <c r="I457"/>
      <c r="J457"/>
      <c r="K457"/>
      <c r="L457"/>
      <c r="M457"/>
      <c r="N457"/>
      <c r="O457"/>
      <c r="P457"/>
    </row>
    <row r="458" spans="5:16" x14ac:dyDescent="0.5">
      <c r="E458"/>
      <c r="F458"/>
      <c r="G458"/>
      <c r="H458"/>
      <c r="I458"/>
      <c r="J458"/>
      <c r="K458"/>
      <c r="L458"/>
      <c r="M458"/>
      <c r="N458"/>
      <c r="O458"/>
      <c r="P458"/>
    </row>
    <row r="459" spans="5:16" x14ac:dyDescent="0.5">
      <c r="E459"/>
      <c r="F459"/>
      <c r="G459"/>
      <c r="H459"/>
      <c r="I459"/>
      <c r="J459"/>
      <c r="K459"/>
      <c r="L459"/>
      <c r="M459"/>
      <c r="N459"/>
      <c r="O459"/>
      <c r="P459"/>
    </row>
    <row r="460" spans="5:16" x14ac:dyDescent="0.5">
      <c r="E460"/>
      <c r="F460"/>
      <c r="G460"/>
      <c r="H460"/>
      <c r="I460"/>
      <c r="J460"/>
      <c r="K460"/>
      <c r="L460"/>
      <c r="M460"/>
      <c r="N460"/>
      <c r="O460"/>
      <c r="P460"/>
    </row>
    <row r="461" spans="5:16" x14ac:dyDescent="0.5">
      <c r="E461"/>
      <c r="F461"/>
      <c r="G461"/>
      <c r="H461"/>
      <c r="I461"/>
      <c r="J461"/>
      <c r="K461"/>
      <c r="L461"/>
      <c r="M461"/>
      <c r="N461"/>
      <c r="O461"/>
      <c r="P461"/>
    </row>
    <row r="462" spans="5:16" x14ac:dyDescent="0.5">
      <c r="E462"/>
      <c r="F462"/>
      <c r="G462"/>
      <c r="H462"/>
      <c r="I462"/>
      <c r="J462"/>
      <c r="K462"/>
      <c r="L462"/>
      <c r="M462"/>
      <c r="N462"/>
      <c r="O462"/>
      <c r="P462"/>
    </row>
    <row r="463" spans="5:16" x14ac:dyDescent="0.5">
      <c r="E463"/>
      <c r="F463"/>
      <c r="G463"/>
      <c r="H463"/>
      <c r="I463"/>
      <c r="J463"/>
      <c r="K463"/>
      <c r="L463"/>
      <c r="M463"/>
      <c r="N463"/>
      <c r="O463"/>
      <c r="P463"/>
    </row>
    <row r="464" spans="5:16" x14ac:dyDescent="0.5">
      <c r="E464"/>
      <c r="F464"/>
      <c r="G464"/>
      <c r="H464"/>
      <c r="I464"/>
      <c r="J464"/>
      <c r="K464"/>
      <c r="L464"/>
      <c r="M464"/>
      <c r="N464"/>
      <c r="O464"/>
      <c r="P464"/>
    </row>
    <row r="465" spans="5:16" x14ac:dyDescent="0.5">
      <c r="E465"/>
      <c r="F465"/>
      <c r="G465"/>
      <c r="H465"/>
      <c r="I465"/>
      <c r="J465"/>
      <c r="K465"/>
      <c r="L465"/>
      <c r="M465"/>
      <c r="N465"/>
      <c r="O465"/>
      <c r="P465"/>
    </row>
    <row r="466" spans="5:16" x14ac:dyDescent="0.5">
      <c r="E466"/>
      <c r="F466"/>
      <c r="G466"/>
      <c r="H466"/>
      <c r="I466"/>
      <c r="J466"/>
      <c r="K466"/>
      <c r="L466"/>
      <c r="M466"/>
      <c r="N466"/>
      <c r="O466"/>
      <c r="P466"/>
    </row>
    <row r="467" spans="5:16" x14ac:dyDescent="0.5">
      <c r="E467"/>
      <c r="F467"/>
      <c r="G467"/>
      <c r="H467"/>
      <c r="I467"/>
      <c r="J467"/>
      <c r="K467"/>
      <c r="L467"/>
      <c r="M467"/>
      <c r="N467"/>
      <c r="O467"/>
      <c r="P467"/>
    </row>
    <row r="468" spans="5:16" x14ac:dyDescent="0.5">
      <c r="E468"/>
      <c r="F468"/>
      <c r="G468"/>
      <c r="H468"/>
      <c r="I468"/>
      <c r="J468"/>
      <c r="K468"/>
      <c r="L468"/>
      <c r="M468"/>
      <c r="N468"/>
      <c r="O468"/>
      <c r="P468"/>
    </row>
    <row r="469" spans="5:16" x14ac:dyDescent="0.5">
      <c r="E469"/>
      <c r="F469"/>
      <c r="G469"/>
      <c r="H469"/>
      <c r="I469"/>
      <c r="J469"/>
      <c r="K469"/>
      <c r="L469"/>
      <c r="M469"/>
      <c r="N469"/>
      <c r="O469"/>
      <c r="P469"/>
    </row>
    <row r="470" spans="5:16" x14ac:dyDescent="0.5">
      <c r="E470"/>
      <c r="F470"/>
      <c r="G470"/>
      <c r="H470"/>
      <c r="I470"/>
      <c r="J470"/>
      <c r="K470"/>
      <c r="L470"/>
      <c r="M470"/>
      <c r="N470"/>
      <c r="O470"/>
      <c r="P470"/>
    </row>
    <row r="471" spans="5:16" x14ac:dyDescent="0.5">
      <c r="E471"/>
      <c r="F471"/>
      <c r="G471"/>
      <c r="H471"/>
      <c r="I471"/>
      <c r="J471"/>
      <c r="K471"/>
      <c r="L471"/>
      <c r="M471"/>
      <c r="N471"/>
      <c r="O471"/>
      <c r="P471"/>
    </row>
    <row r="472" spans="5:16" x14ac:dyDescent="0.5">
      <c r="E472"/>
      <c r="F472"/>
      <c r="G472"/>
      <c r="H472"/>
      <c r="I472"/>
      <c r="J472"/>
      <c r="K472"/>
      <c r="L472"/>
      <c r="M472"/>
      <c r="N472"/>
      <c r="O472"/>
      <c r="P472"/>
    </row>
    <row r="473" spans="5:16" x14ac:dyDescent="0.5">
      <c r="E473"/>
      <c r="F473"/>
      <c r="G473"/>
      <c r="H473"/>
      <c r="I473"/>
      <c r="J473"/>
      <c r="K473"/>
      <c r="L473"/>
      <c r="M473"/>
      <c r="N473"/>
      <c r="O473"/>
      <c r="P473"/>
    </row>
    <row r="474" spans="5:16" x14ac:dyDescent="0.5">
      <c r="E474"/>
      <c r="F474"/>
      <c r="G474"/>
      <c r="H474"/>
      <c r="I474"/>
      <c r="J474"/>
      <c r="K474"/>
      <c r="L474"/>
      <c r="M474"/>
      <c r="N474"/>
      <c r="O474"/>
      <c r="P474"/>
    </row>
    <row r="475" spans="5:16" x14ac:dyDescent="0.5">
      <c r="E475"/>
      <c r="F475"/>
      <c r="G475"/>
      <c r="H475"/>
      <c r="I475"/>
      <c r="J475"/>
      <c r="K475"/>
      <c r="L475"/>
      <c r="M475"/>
      <c r="N475"/>
      <c r="O475"/>
      <c r="P475"/>
    </row>
    <row r="476" spans="5:16" x14ac:dyDescent="0.5">
      <c r="E476"/>
      <c r="F476"/>
      <c r="G476"/>
      <c r="H476"/>
      <c r="I476"/>
      <c r="J476"/>
      <c r="K476"/>
      <c r="L476"/>
      <c r="M476"/>
      <c r="N476"/>
      <c r="O476"/>
      <c r="P476"/>
    </row>
    <row r="477" spans="5:16" x14ac:dyDescent="0.5">
      <c r="E477"/>
      <c r="F477"/>
      <c r="G477"/>
      <c r="H477"/>
      <c r="I477"/>
      <c r="J477"/>
      <c r="K477"/>
      <c r="L477"/>
      <c r="M477"/>
      <c r="N477"/>
      <c r="O477"/>
      <c r="P477"/>
    </row>
    <row r="478" spans="5:16" x14ac:dyDescent="0.5">
      <c r="E478"/>
      <c r="F478"/>
      <c r="G478"/>
      <c r="H478"/>
      <c r="I478"/>
      <c r="J478"/>
      <c r="K478"/>
      <c r="L478"/>
      <c r="M478"/>
      <c r="N478"/>
      <c r="O478"/>
      <c r="P478"/>
    </row>
    <row r="479" spans="5:16" x14ac:dyDescent="0.5">
      <c r="E479"/>
      <c r="F479"/>
      <c r="G479"/>
      <c r="H479"/>
      <c r="I479"/>
      <c r="J479"/>
      <c r="K479"/>
      <c r="L479"/>
      <c r="M479"/>
      <c r="N479"/>
      <c r="O479"/>
      <c r="P479"/>
    </row>
    <row r="480" spans="5:16" x14ac:dyDescent="0.5">
      <c r="E480"/>
      <c r="F480"/>
      <c r="G480"/>
      <c r="H480"/>
      <c r="I480"/>
      <c r="J480"/>
      <c r="K480"/>
      <c r="L480"/>
      <c r="M480"/>
      <c r="N480"/>
      <c r="O480"/>
      <c r="P480"/>
    </row>
    <row r="481" spans="5:16" x14ac:dyDescent="0.5">
      <c r="E481"/>
      <c r="F481"/>
      <c r="G481"/>
      <c r="H481"/>
      <c r="I481"/>
      <c r="J481"/>
      <c r="K481"/>
      <c r="L481"/>
      <c r="M481"/>
      <c r="N481"/>
      <c r="O481"/>
      <c r="P481"/>
    </row>
    <row r="482" spans="5:16" x14ac:dyDescent="0.5">
      <c r="E482"/>
      <c r="F482"/>
      <c r="G482"/>
      <c r="H482"/>
      <c r="I482"/>
      <c r="J482"/>
      <c r="K482"/>
      <c r="L482"/>
      <c r="M482"/>
      <c r="N482"/>
      <c r="O482"/>
      <c r="P482"/>
    </row>
    <row r="483" spans="5:16" x14ac:dyDescent="0.5">
      <c r="E483"/>
      <c r="F483"/>
      <c r="G483"/>
      <c r="H483"/>
      <c r="I483"/>
      <c r="J483"/>
      <c r="K483"/>
      <c r="L483"/>
      <c r="M483"/>
      <c r="N483"/>
      <c r="O483"/>
      <c r="P483"/>
    </row>
    <row r="484" spans="5:16" x14ac:dyDescent="0.5">
      <c r="E484"/>
      <c r="F484"/>
      <c r="G484"/>
      <c r="H484"/>
      <c r="I484"/>
      <c r="J484"/>
      <c r="K484"/>
      <c r="L484"/>
      <c r="M484"/>
      <c r="N484"/>
      <c r="O484"/>
      <c r="P484"/>
    </row>
    <row r="485" spans="5:16" x14ac:dyDescent="0.5">
      <c r="E485"/>
      <c r="F485"/>
      <c r="G485"/>
      <c r="H485"/>
      <c r="I485"/>
      <c r="J485"/>
      <c r="K485"/>
      <c r="L485"/>
      <c r="M485"/>
      <c r="N485"/>
      <c r="O485"/>
      <c r="P485"/>
    </row>
    <row r="486" spans="5:16" x14ac:dyDescent="0.5">
      <c r="E486"/>
      <c r="F486"/>
      <c r="G486"/>
      <c r="H486"/>
      <c r="I486"/>
      <c r="J486"/>
      <c r="K486"/>
      <c r="L486"/>
      <c r="M486"/>
      <c r="N486"/>
      <c r="O486"/>
      <c r="P486"/>
    </row>
    <row r="487" spans="5:16" x14ac:dyDescent="0.5">
      <c r="E487"/>
      <c r="F487"/>
      <c r="G487"/>
      <c r="H487"/>
      <c r="I487"/>
      <c r="J487"/>
      <c r="K487"/>
      <c r="L487"/>
      <c r="M487"/>
      <c r="N487"/>
      <c r="O487"/>
      <c r="P487"/>
    </row>
    <row r="488" spans="5:16" x14ac:dyDescent="0.5">
      <c r="E488"/>
      <c r="F488"/>
      <c r="G488"/>
      <c r="H488"/>
      <c r="I488"/>
      <c r="J488"/>
      <c r="K488"/>
      <c r="L488"/>
      <c r="M488"/>
      <c r="N488"/>
      <c r="O488"/>
      <c r="P488"/>
    </row>
    <row r="489" spans="5:16" x14ac:dyDescent="0.5">
      <c r="E489"/>
      <c r="F489"/>
      <c r="G489"/>
      <c r="H489"/>
      <c r="I489"/>
      <c r="J489"/>
      <c r="K489"/>
      <c r="L489"/>
      <c r="M489"/>
      <c r="N489"/>
      <c r="O489"/>
      <c r="P489"/>
    </row>
    <row r="490" spans="5:16" x14ac:dyDescent="0.5">
      <c r="E490"/>
      <c r="F490"/>
      <c r="G490"/>
      <c r="H490"/>
      <c r="I490"/>
      <c r="J490"/>
      <c r="K490"/>
      <c r="L490"/>
      <c r="M490"/>
      <c r="N490"/>
      <c r="O490"/>
      <c r="P490"/>
    </row>
    <row r="491" spans="5:16" x14ac:dyDescent="0.5">
      <c r="E491"/>
      <c r="F491"/>
      <c r="G491"/>
      <c r="H491"/>
      <c r="I491"/>
      <c r="J491"/>
      <c r="K491"/>
      <c r="L491"/>
      <c r="M491"/>
      <c r="N491"/>
      <c r="O491"/>
      <c r="P491"/>
    </row>
    <row r="492" spans="5:16" x14ac:dyDescent="0.5">
      <c r="E492"/>
      <c r="F492"/>
      <c r="G492"/>
      <c r="H492"/>
      <c r="I492"/>
      <c r="J492"/>
      <c r="K492"/>
      <c r="L492"/>
      <c r="M492"/>
      <c r="N492"/>
      <c r="O492"/>
      <c r="P492"/>
    </row>
    <row r="493" spans="5:16" x14ac:dyDescent="0.5">
      <c r="E493"/>
      <c r="F493"/>
      <c r="G493"/>
      <c r="H493"/>
      <c r="I493"/>
      <c r="J493"/>
      <c r="K493"/>
      <c r="L493"/>
      <c r="M493"/>
      <c r="N493"/>
      <c r="O493"/>
      <c r="P493"/>
    </row>
    <row r="494" spans="5:16" x14ac:dyDescent="0.5">
      <c r="E494"/>
      <c r="F494"/>
      <c r="G494"/>
      <c r="H494"/>
      <c r="I494"/>
      <c r="J494"/>
      <c r="K494"/>
      <c r="L494"/>
      <c r="M494"/>
      <c r="N494"/>
      <c r="O494"/>
      <c r="P494"/>
    </row>
    <row r="495" spans="5:16" x14ac:dyDescent="0.5">
      <c r="E495"/>
      <c r="F495"/>
      <c r="G495"/>
      <c r="H495"/>
      <c r="I495"/>
      <c r="J495"/>
      <c r="K495"/>
      <c r="L495"/>
      <c r="M495"/>
      <c r="N495"/>
      <c r="O495"/>
      <c r="P495"/>
    </row>
    <row r="496" spans="5:16" x14ac:dyDescent="0.5">
      <c r="E496"/>
      <c r="F496"/>
      <c r="G496"/>
      <c r="H496"/>
      <c r="I496"/>
      <c r="J496"/>
      <c r="K496"/>
      <c r="L496"/>
      <c r="M496"/>
      <c r="N496"/>
      <c r="O496"/>
      <c r="P496"/>
    </row>
    <row r="497" spans="5:16" x14ac:dyDescent="0.5">
      <c r="E497"/>
      <c r="F497"/>
      <c r="G497"/>
      <c r="H497"/>
      <c r="I497"/>
      <c r="J497"/>
      <c r="K497"/>
      <c r="L497"/>
      <c r="M497"/>
      <c r="N497"/>
      <c r="O497"/>
      <c r="P497"/>
    </row>
    <row r="498" spans="5:16" x14ac:dyDescent="0.5">
      <c r="E498"/>
      <c r="F498"/>
      <c r="G498"/>
      <c r="H498"/>
      <c r="I498"/>
      <c r="J498"/>
      <c r="K498"/>
      <c r="L498"/>
      <c r="M498"/>
      <c r="N498"/>
      <c r="O498"/>
      <c r="P498"/>
    </row>
    <row r="499" spans="5:16" x14ac:dyDescent="0.5">
      <c r="E499"/>
      <c r="F499"/>
      <c r="G499"/>
      <c r="H499"/>
      <c r="I499"/>
      <c r="J499"/>
      <c r="K499"/>
      <c r="L499"/>
      <c r="M499"/>
      <c r="N499"/>
      <c r="O499"/>
      <c r="P499"/>
    </row>
    <row r="500" spans="5:16" x14ac:dyDescent="0.5">
      <c r="E500"/>
      <c r="F500"/>
      <c r="G500"/>
      <c r="H500"/>
      <c r="I500"/>
      <c r="J500"/>
      <c r="K500"/>
      <c r="L500"/>
      <c r="M500"/>
      <c r="N500"/>
      <c r="O500"/>
      <c r="P500"/>
    </row>
    <row r="501" spans="5:16" x14ac:dyDescent="0.5">
      <c r="E501"/>
      <c r="F501"/>
      <c r="G501"/>
      <c r="H501"/>
      <c r="I501"/>
      <c r="J501"/>
      <c r="K501"/>
      <c r="L501"/>
      <c r="M501"/>
      <c r="N501"/>
      <c r="O501"/>
      <c r="P501"/>
    </row>
    <row r="502" spans="5:16" x14ac:dyDescent="0.5">
      <c r="E502"/>
      <c r="F502"/>
      <c r="G502"/>
      <c r="H502"/>
      <c r="I502"/>
      <c r="J502"/>
      <c r="K502"/>
      <c r="L502"/>
      <c r="M502"/>
      <c r="N502"/>
      <c r="O502"/>
      <c r="P502"/>
    </row>
    <row r="503" spans="5:16" x14ac:dyDescent="0.5">
      <c r="E503"/>
      <c r="F503"/>
      <c r="G503"/>
      <c r="H503"/>
      <c r="I503"/>
      <c r="J503"/>
      <c r="K503"/>
      <c r="L503"/>
      <c r="M503"/>
      <c r="N503"/>
      <c r="O503"/>
      <c r="P503"/>
    </row>
    <row r="504" spans="5:16" x14ac:dyDescent="0.5">
      <c r="E504"/>
      <c r="F504"/>
      <c r="G504"/>
      <c r="H504"/>
      <c r="I504"/>
      <c r="J504"/>
      <c r="K504"/>
      <c r="L504"/>
      <c r="M504"/>
      <c r="N504"/>
      <c r="O504"/>
      <c r="P504"/>
    </row>
    <row r="505" spans="5:16" x14ac:dyDescent="0.5">
      <c r="E505"/>
      <c r="F505"/>
      <c r="G505"/>
      <c r="H505"/>
      <c r="I505"/>
      <c r="J505"/>
      <c r="K505"/>
      <c r="L505"/>
      <c r="M505"/>
      <c r="N505"/>
      <c r="O505"/>
      <c r="P505"/>
    </row>
    <row r="506" spans="5:16" x14ac:dyDescent="0.5">
      <c r="E506"/>
      <c r="F506"/>
      <c r="G506"/>
      <c r="H506"/>
      <c r="I506"/>
      <c r="J506"/>
      <c r="K506"/>
      <c r="L506"/>
      <c r="M506"/>
      <c r="N506"/>
      <c r="O506"/>
      <c r="P506"/>
    </row>
    <row r="507" spans="5:16" x14ac:dyDescent="0.5">
      <c r="E507"/>
      <c r="F507"/>
      <c r="G507"/>
      <c r="H507"/>
      <c r="I507"/>
      <c r="J507"/>
      <c r="K507"/>
      <c r="L507"/>
      <c r="M507"/>
      <c r="N507"/>
      <c r="O507"/>
      <c r="P507"/>
    </row>
    <row r="508" spans="5:16" x14ac:dyDescent="0.5">
      <c r="E508"/>
      <c r="F508"/>
      <c r="G508"/>
      <c r="H508"/>
      <c r="I508"/>
      <c r="J508"/>
      <c r="K508"/>
      <c r="L508"/>
      <c r="M508"/>
      <c r="N508"/>
      <c r="O508"/>
      <c r="P508"/>
    </row>
    <row r="509" spans="5:16" x14ac:dyDescent="0.5">
      <c r="E509"/>
      <c r="F509"/>
      <c r="G509"/>
      <c r="H509"/>
      <c r="I509"/>
      <c r="J509"/>
      <c r="K509"/>
      <c r="L509"/>
      <c r="M509"/>
      <c r="N509"/>
      <c r="O509"/>
      <c r="P509"/>
    </row>
    <row r="510" spans="5:16" x14ac:dyDescent="0.5">
      <c r="E510"/>
      <c r="F510"/>
      <c r="G510"/>
      <c r="H510"/>
      <c r="I510"/>
      <c r="J510"/>
      <c r="K510"/>
      <c r="L510"/>
      <c r="M510"/>
      <c r="N510"/>
      <c r="O510"/>
      <c r="P510"/>
    </row>
    <row r="511" spans="5:16" x14ac:dyDescent="0.5">
      <c r="E511"/>
      <c r="F511"/>
      <c r="G511"/>
      <c r="H511"/>
      <c r="I511"/>
      <c r="J511"/>
      <c r="K511"/>
      <c r="L511"/>
      <c r="M511"/>
      <c r="N511"/>
      <c r="O511"/>
      <c r="P511"/>
    </row>
    <row r="512" spans="5:16" x14ac:dyDescent="0.5">
      <c r="E512"/>
      <c r="F512"/>
      <c r="G512"/>
      <c r="H512"/>
      <c r="I512"/>
      <c r="J512"/>
      <c r="K512"/>
      <c r="L512"/>
      <c r="M512"/>
      <c r="N512"/>
      <c r="O512"/>
      <c r="P512"/>
    </row>
    <row r="513" spans="5:16" x14ac:dyDescent="0.5">
      <c r="E513"/>
      <c r="F513"/>
      <c r="G513"/>
      <c r="H513"/>
      <c r="I513"/>
      <c r="J513"/>
      <c r="K513"/>
      <c r="L513"/>
      <c r="M513"/>
      <c r="N513"/>
      <c r="O513"/>
      <c r="P513"/>
    </row>
    <row r="514" spans="5:16" x14ac:dyDescent="0.5">
      <c r="E514"/>
      <c r="F514"/>
      <c r="G514"/>
      <c r="H514"/>
      <c r="I514"/>
      <c r="J514"/>
      <c r="K514"/>
      <c r="L514"/>
      <c r="M514"/>
      <c r="N514"/>
      <c r="O514"/>
      <c r="P514"/>
    </row>
    <row r="515" spans="5:16" x14ac:dyDescent="0.5">
      <c r="E515"/>
      <c r="F515"/>
      <c r="G515"/>
      <c r="H515"/>
      <c r="I515"/>
      <c r="J515"/>
      <c r="K515"/>
      <c r="L515"/>
      <c r="M515"/>
      <c r="N515"/>
      <c r="O515"/>
      <c r="P515"/>
    </row>
    <row r="516" spans="5:16" x14ac:dyDescent="0.5">
      <c r="E516"/>
      <c r="F516"/>
      <c r="G516"/>
      <c r="H516"/>
      <c r="I516"/>
      <c r="J516"/>
      <c r="K516"/>
      <c r="L516"/>
      <c r="M516"/>
      <c r="N516"/>
      <c r="O516"/>
      <c r="P516"/>
    </row>
    <row r="517" spans="5:16" x14ac:dyDescent="0.5">
      <c r="E517"/>
      <c r="F517"/>
      <c r="G517"/>
      <c r="H517"/>
      <c r="I517"/>
      <c r="J517"/>
      <c r="K517"/>
      <c r="L517"/>
      <c r="M517"/>
      <c r="N517"/>
      <c r="O517"/>
      <c r="P517"/>
    </row>
    <row r="518" spans="5:16" x14ac:dyDescent="0.5">
      <c r="E518"/>
      <c r="F518"/>
      <c r="G518"/>
      <c r="H518"/>
      <c r="I518"/>
      <c r="J518"/>
      <c r="K518"/>
      <c r="L518"/>
      <c r="M518"/>
      <c r="N518"/>
      <c r="O518"/>
      <c r="P518"/>
    </row>
    <row r="519" spans="5:16" x14ac:dyDescent="0.5">
      <c r="E519"/>
      <c r="F519"/>
      <c r="G519"/>
      <c r="H519"/>
      <c r="I519"/>
      <c r="J519"/>
      <c r="K519"/>
      <c r="L519"/>
      <c r="M519"/>
      <c r="N519"/>
      <c r="O519"/>
      <c r="P519"/>
    </row>
    <row r="520" spans="5:16" x14ac:dyDescent="0.5">
      <c r="E520"/>
      <c r="F520"/>
      <c r="G520"/>
      <c r="H520"/>
      <c r="I520"/>
      <c r="J520"/>
      <c r="K520"/>
      <c r="L520"/>
      <c r="M520"/>
      <c r="N520"/>
      <c r="O520"/>
      <c r="P520"/>
    </row>
    <row r="521" spans="5:16" x14ac:dyDescent="0.5">
      <c r="E521"/>
      <c r="F521"/>
      <c r="G521"/>
      <c r="H521"/>
      <c r="I521"/>
      <c r="J521"/>
      <c r="K521"/>
      <c r="L521"/>
      <c r="M521"/>
      <c r="N521"/>
      <c r="O521"/>
      <c r="P521"/>
    </row>
    <row r="522" spans="5:16" x14ac:dyDescent="0.5">
      <c r="E522"/>
      <c r="F522"/>
      <c r="G522"/>
      <c r="H522"/>
      <c r="I522"/>
      <c r="J522"/>
      <c r="K522"/>
      <c r="L522"/>
      <c r="M522"/>
      <c r="N522"/>
      <c r="O522"/>
      <c r="P522"/>
    </row>
    <row r="523" spans="5:16" x14ac:dyDescent="0.5">
      <c r="E523"/>
      <c r="F523"/>
      <c r="G523"/>
      <c r="H523"/>
      <c r="I523"/>
      <c r="J523"/>
      <c r="K523"/>
      <c r="L523"/>
      <c r="M523"/>
      <c r="N523"/>
      <c r="O523"/>
      <c r="P523"/>
    </row>
    <row r="524" spans="5:16" x14ac:dyDescent="0.5">
      <c r="E524"/>
      <c r="F524"/>
      <c r="G524"/>
      <c r="H524"/>
      <c r="I524"/>
      <c r="J524"/>
      <c r="K524"/>
      <c r="L524"/>
      <c r="M524"/>
      <c r="N524"/>
      <c r="O524"/>
      <c r="P524"/>
    </row>
    <row r="525" spans="5:16" x14ac:dyDescent="0.5">
      <c r="E525"/>
      <c r="F525"/>
      <c r="G525"/>
      <c r="H525"/>
      <c r="I525"/>
      <c r="J525"/>
      <c r="K525"/>
      <c r="L525"/>
      <c r="M525"/>
      <c r="N525"/>
      <c r="O525"/>
      <c r="P525"/>
    </row>
    <row r="526" spans="5:16" x14ac:dyDescent="0.5">
      <c r="E526"/>
      <c r="F526"/>
      <c r="G526"/>
      <c r="H526"/>
      <c r="I526"/>
      <c r="J526"/>
      <c r="K526"/>
      <c r="L526"/>
      <c r="M526"/>
      <c r="N526"/>
      <c r="O526"/>
      <c r="P526"/>
    </row>
    <row r="527" spans="5:16" x14ac:dyDescent="0.5">
      <c r="E527"/>
      <c r="F527"/>
      <c r="G527"/>
      <c r="H527"/>
      <c r="I527"/>
      <c r="J527"/>
      <c r="K527"/>
      <c r="L527"/>
      <c r="M527"/>
      <c r="N527"/>
      <c r="O527"/>
      <c r="P527"/>
    </row>
    <row r="528" spans="5:16" x14ac:dyDescent="0.5">
      <c r="E528"/>
      <c r="F528"/>
      <c r="G528"/>
      <c r="H528"/>
      <c r="I528"/>
      <c r="J528"/>
      <c r="K528"/>
      <c r="L528"/>
      <c r="M528"/>
      <c r="N528"/>
      <c r="O528"/>
      <c r="P528"/>
    </row>
    <row r="529" spans="5:16" x14ac:dyDescent="0.5">
      <c r="E529"/>
      <c r="F529"/>
      <c r="G529"/>
      <c r="H529"/>
      <c r="I529"/>
      <c r="J529"/>
      <c r="K529"/>
      <c r="L529"/>
      <c r="M529"/>
      <c r="N529"/>
      <c r="O529"/>
      <c r="P529"/>
    </row>
    <row r="530" spans="5:16" x14ac:dyDescent="0.5">
      <c r="E530"/>
      <c r="F530"/>
      <c r="G530"/>
      <c r="H530"/>
      <c r="I530"/>
      <c r="J530"/>
      <c r="K530"/>
      <c r="L530"/>
      <c r="M530"/>
      <c r="N530"/>
      <c r="O530"/>
      <c r="P530"/>
    </row>
    <row r="531" spans="5:16" x14ac:dyDescent="0.5">
      <c r="E531"/>
      <c r="F531"/>
      <c r="G531"/>
      <c r="H531"/>
      <c r="I531"/>
      <c r="J531"/>
      <c r="K531"/>
      <c r="L531"/>
      <c r="M531"/>
      <c r="N531"/>
      <c r="O531"/>
      <c r="P531"/>
    </row>
    <row r="532" spans="5:16" x14ac:dyDescent="0.5">
      <c r="E532"/>
      <c r="F532"/>
      <c r="G532"/>
      <c r="H532"/>
      <c r="I532"/>
      <c r="J532"/>
      <c r="K532"/>
      <c r="L532"/>
      <c r="M532"/>
      <c r="N532"/>
      <c r="O532"/>
      <c r="P532"/>
    </row>
    <row r="533" spans="5:16" x14ac:dyDescent="0.5">
      <c r="E533"/>
      <c r="F533"/>
      <c r="G533"/>
      <c r="H533"/>
      <c r="I533"/>
      <c r="J533"/>
      <c r="K533"/>
      <c r="L533"/>
      <c r="M533"/>
      <c r="N533"/>
      <c r="O533"/>
      <c r="P533"/>
    </row>
    <row r="534" spans="5:16" x14ac:dyDescent="0.5">
      <c r="E534"/>
      <c r="F534"/>
      <c r="G534"/>
      <c r="H534"/>
      <c r="I534"/>
      <c r="J534"/>
      <c r="K534"/>
      <c r="L534"/>
      <c r="M534"/>
      <c r="N534"/>
      <c r="O534"/>
      <c r="P534"/>
    </row>
    <row r="535" spans="5:16" x14ac:dyDescent="0.5">
      <c r="E535"/>
      <c r="F535"/>
      <c r="G535"/>
      <c r="H535"/>
      <c r="I535"/>
      <c r="J535"/>
      <c r="K535"/>
      <c r="L535"/>
      <c r="M535"/>
      <c r="N535"/>
      <c r="O535"/>
      <c r="P535"/>
    </row>
    <row r="536" spans="5:16" x14ac:dyDescent="0.5">
      <c r="E536"/>
      <c r="F536"/>
      <c r="G536"/>
      <c r="H536"/>
      <c r="I536"/>
      <c r="J536"/>
      <c r="K536"/>
      <c r="L536"/>
      <c r="M536"/>
      <c r="N536"/>
      <c r="O536"/>
      <c r="P536"/>
    </row>
    <row r="537" spans="5:16" x14ac:dyDescent="0.5">
      <c r="E537"/>
      <c r="F537"/>
      <c r="G537"/>
      <c r="H537"/>
      <c r="I537"/>
      <c r="J537"/>
      <c r="K537"/>
      <c r="L537"/>
      <c r="M537"/>
      <c r="N537"/>
      <c r="O537"/>
      <c r="P537"/>
    </row>
    <row r="538" spans="5:16" x14ac:dyDescent="0.5">
      <c r="E538"/>
      <c r="F538"/>
      <c r="G538"/>
      <c r="H538"/>
      <c r="I538"/>
      <c r="J538"/>
      <c r="K538"/>
      <c r="L538"/>
      <c r="M538"/>
      <c r="N538"/>
      <c r="O538"/>
      <c r="P538"/>
    </row>
    <row r="539" spans="5:16" x14ac:dyDescent="0.5">
      <c r="E539"/>
      <c r="F539"/>
      <c r="G539"/>
      <c r="H539"/>
      <c r="I539"/>
      <c r="J539"/>
      <c r="K539"/>
      <c r="L539"/>
      <c r="M539"/>
      <c r="N539"/>
      <c r="O539"/>
      <c r="P539"/>
    </row>
    <row r="540" spans="5:16" x14ac:dyDescent="0.5">
      <c r="E540"/>
      <c r="F540"/>
      <c r="G540"/>
      <c r="H540"/>
      <c r="I540"/>
      <c r="J540"/>
      <c r="K540"/>
      <c r="L540"/>
      <c r="M540"/>
      <c r="N540"/>
      <c r="O540"/>
      <c r="P540"/>
    </row>
    <row r="541" spans="5:16" x14ac:dyDescent="0.5">
      <c r="E541"/>
      <c r="F541"/>
      <c r="G541"/>
      <c r="H541"/>
      <c r="I541"/>
      <c r="J541"/>
      <c r="K541"/>
      <c r="L541"/>
      <c r="M541"/>
      <c r="N541"/>
      <c r="O541"/>
      <c r="P541"/>
    </row>
    <row r="542" spans="5:16" x14ac:dyDescent="0.5">
      <c r="E542"/>
      <c r="F542"/>
      <c r="G542"/>
      <c r="H542"/>
      <c r="I542"/>
      <c r="J542"/>
      <c r="K542"/>
      <c r="L542"/>
      <c r="M542"/>
      <c r="N542"/>
      <c r="O542"/>
      <c r="P542"/>
    </row>
    <row r="543" spans="5:16" x14ac:dyDescent="0.5">
      <c r="E543"/>
      <c r="F543"/>
      <c r="G543"/>
      <c r="H543"/>
      <c r="I543"/>
      <c r="J543"/>
      <c r="K543"/>
      <c r="L543"/>
      <c r="M543"/>
      <c r="N543"/>
      <c r="O543"/>
      <c r="P543"/>
    </row>
    <row r="544" spans="5:16" x14ac:dyDescent="0.5">
      <c r="E544"/>
      <c r="F544"/>
      <c r="G544"/>
      <c r="H544"/>
      <c r="I544"/>
      <c r="J544"/>
      <c r="K544"/>
      <c r="L544"/>
      <c r="M544"/>
      <c r="N544"/>
      <c r="O544"/>
      <c r="P544"/>
    </row>
    <row r="545" spans="5:16" x14ac:dyDescent="0.5">
      <c r="E545"/>
      <c r="F545"/>
      <c r="G545"/>
      <c r="H545"/>
      <c r="I545"/>
      <c r="J545"/>
      <c r="K545"/>
      <c r="L545"/>
      <c r="M545"/>
      <c r="N545"/>
      <c r="O545"/>
      <c r="P545"/>
    </row>
    <row r="546" spans="5:16" x14ac:dyDescent="0.5">
      <c r="E546"/>
      <c r="F546"/>
      <c r="G546"/>
      <c r="H546"/>
      <c r="I546"/>
      <c r="J546"/>
      <c r="K546"/>
      <c r="L546"/>
      <c r="M546"/>
      <c r="N546"/>
      <c r="O546"/>
      <c r="P546"/>
    </row>
    <row r="547" spans="5:16" x14ac:dyDescent="0.5">
      <c r="E547"/>
      <c r="F547"/>
      <c r="G547"/>
      <c r="H547"/>
      <c r="I547"/>
      <c r="J547"/>
      <c r="K547"/>
      <c r="L547"/>
      <c r="M547"/>
      <c r="N547"/>
      <c r="O547"/>
      <c r="P547"/>
    </row>
    <row r="548" spans="5:16" x14ac:dyDescent="0.5">
      <c r="E548"/>
      <c r="F548"/>
      <c r="G548"/>
      <c r="H548"/>
      <c r="I548"/>
      <c r="J548"/>
      <c r="K548"/>
      <c r="L548"/>
      <c r="M548"/>
      <c r="N548"/>
      <c r="O548"/>
      <c r="P548"/>
    </row>
    <row r="549" spans="5:16" x14ac:dyDescent="0.5">
      <c r="E549"/>
      <c r="F549"/>
      <c r="G549"/>
      <c r="H549"/>
      <c r="I549"/>
      <c r="J549"/>
      <c r="K549"/>
      <c r="L549"/>
      <c r="M549"/>
      <c r="N549"/>
      <c r="O549"/>
      <c r="P549"/>
    </row>
    <row r="550" spans="5:16" x14ac:dyDescent="0.5">
      <c r="E550"/>
      <c r="F550"/>
      <c r="G550"/>
      <c r="H550"/>
      <c r="I550"/>
      <c r="J550"/>
      <c r="K550"/>
      <c r="L550"/>
      <c r="M550"/>
      <c r="N550"/>
      <c r="O550"/>
      <c r="P550"/>
    </row>
    <row r="551" spans="5:16" x14ac:dyDescent="0.5">
      <c r="E551"/>
      <c r="F551"/>
      <c r="G551"/>
      <c r="H551"/>
      <c r="I551"/>
      <c r="J551"/>
      <c r="K551"/>
      <c r="L551"/>
      <c r="M551"/>
      <c r="N551"/>
      <c r="O551"/>
      <c r="P551"/>
    </row>
    <row r="552" spans="5:16" x14ac:dyDescent="0.5">
      <c r="E552"/>
      <c r="F552"/>
      <c r="G552"/>
      <c r="H552"/>
      <c r="I552"/>
      <c r="J552"/>
      <c r="K552"/>
      <c r="L552"/>
      <c r="M552"/>
      <c r="N552"/>
      <c r="O552"/>
      <c r="P552"/>
    </row>
    <row r="553" spans="5:16" x14ac:dyDescent="0.5">
      <c r="E553"/>
      <c r="F553"/>
      <c r="G553"/>
      <c r="H553"/>
      <c r="I553"/>
      <c r="J553"/>
      <c r="K553"/>
      <c r="L553"/>
      <c r="M553"/>
      <c r="N553"/>
      <c r="O553"/>
      <c r="P553"/>
    </row>
    <row r="554" spans="5:16" x14ac:dyDescent="0.5">
      <c r="E554"/>
      <c r="F554"/>
      <c r="G554"/>
      <c r="H554"/>
      <c r="I554"/>
      <c r="J554"/>
      <c r="K554"/>
      <c r="L554"/>
      <c r="M554"/>
      <c r="N554"/>
      <c r="O554"/>
      <c r="P554"/>
    </row>
    <row r="555" spans="5:16" x14ac:dyDescent="0.5">
      <c r="E555"/>
      <c r="F555"/>
      <c r="G555"/>
      <c r="H555"/>
      <c r="I555"/>
      <c r="J555"/>
      <c r="K555"/>
      <c r="L555"/>
      <c r="M555"/>
      <c r="N555"/>
      <c r="O555"/>
      <c r="P555"/>
    </row>
    <row r="556" spans="5:16" x14ac:dyDescent="0.5">
      <c r="E556"/>
      <c r="F556"/>
      <c r="G556"/>
      <c r="H556"/>
      <c r="I556"/>
      <c r="J556"/>
      <c r="K556"/>
      <c r="L556"/>
      <c r="M556"/>
      <c r="N556"/>
      <c r="O556"/>
      <c r="P556"/>
    </row>
    <row r="557" spans="5:16" x14ac:dyDescent="0.5">
      <c r="E557"/>
      <c r="F557"/>
      <c r="G557"/>
      <c r="H557"/>
      <c r="I557"/>
      <c r="J557"/>
      <c r="K557"/>
      <c r="L557"/>
      <c r="M557"/>
      <c r="N557"/>
      <c r="O557"/>
      <c r="P557"/>
    </row>
    <row r="558" spans="5:16" x14ac:dyDescent="0.5">
      <c r="E558"/>
      <c r="F558"/>
      <c r="G558"/>
      <c r="H558"/>
      <c r="I558"/>
      <c r="J558"/>
      <c r="K558"/>
      <c r="L558"/>
      <c r="M558"/>
      <c r="N558"/>
      <c r="O558"/>
      <c r="P558"/>
    </row>
    <row r="559" spans="5:16" x14ac:dyDescent="0.5">
      <c r="E559"/>
      <c r="F559"/>
      <c r="G559"/>
      <c r="H559"/>
      <c r="I559"/>
      <c r="J559"/>
      <c r="K559"/>
      <c r="L559"/>
      <c r="M559"/>
      <c r="N559"/>
      <c r="O559"/>
      <c r="P559"/>
    </row>
    <row r="560" spans="5:16" x14ac:dyDescent="0.5">
      <c r="E560"/>
      <c r="F560"/>
      <c r="G560"/>
      <c r="H560"/>
      <c r="I560"/>
      <c r="J560"/>
      <c r="K560"/>
      <c r="L560"/>
      <c r="M560"/>
      <c r="N560"/>
      <c r="O560"/>
      <c r="P560"/>
    </row>
    <row r="561" spans="5:16" x14ac:dyDescent="0.5">
      <c r="E561"/>
      <c r="F561"/>
      <c r="G561"/>
      <c r="H561"/>
      <c r="I561"/>
      <c r="J561"/>
      <c r="K561"/>
      <c r="L561"/>
      <c r="M561"/>
      <c r="N561"/>
      <c r="O561"/>
      <c r="P561"/>
    </row>
    <row r="562" spans="5:16" x14ac:dyDescent="0.5">
      <c r="E562"/>
      <c r="F562"/>
      <c r="G562"/>
      <c r="H562"/>
      <c r="I562"/>
      <c r="J562"/>
      <c r="K562"/>
      <c r="L562"/>
      <c r="M562"/>
      <c r="N562"/>
      <c r="O562"/>
      <c r="P562"/>
    </row>
    <row r="563" spans="5:16" x14ac:dyDescent="0.5">
      <c r="E563"/>
      <c r="F563"/>
      <c r="G563"/>
      <c r="H563"/>
      <c r="I563"/>
      <c r="J563"/>
      <c r="K563"/>
      <c r="L563"/>
      <c r="M563"/>
      <c r="N563"/>
      <c r="O563"/>
      <c r="P563"/>
    </row>
    <row r="564" spans="5:16" x14ac:dyDescent="0.5">
      <c r="E564"/>
      <c r="F564"/>
      <c r="G564"/>
      <c r="H564"/>
      <c r="I564"/>
      <c r="J564"/>
      <c r="K564"/>
      <c r="L564"/>
      <c r="M564"/>
      <c r="N564"/>
      <c r="O564"/>
      <c r="P564"/>
    </row>
    <row r="565" spans="5:16" x14ac:dyDescent="0.5">
      <c r="E565"/>
      <c r="F565"/>
      <c r="G565"/>
      <c r="H565"/>
      <c r="I565"/>
      <c r="J565"/>
      <c r="K565"/>
      <c r="L565"/>
      <c r="M565"/>
      <c r="N565"/>
      <c r="O565"/>
      <c r="P565"/>
    </row>
    <row r="566" spans="5:16" x14ac:dyDescent="0.5">
      <c r="E566"/>
      <c r="F566"/>
      <c r="G566"/>
      <c r="H566"/>
      <c r="I566"/>
      <c r="J566"/>
      <c r="K566"/>
      <c r="L566"/>
      <c r="M566"/>
      <c r="N566"/>
      <c r="O566"/>
      <c r="P566"/>
    </row>
    <row r="567" spans="5:16" x14ac:dyDescent="0.5">
      <c r="E567"/>
      <c r="F567"/>
      <c r="G567"/>
      <c r="H567"/>
      <c r="I567"/>
      <c r="J567"/>
      <c r="K567"/>
      <c r="L567"/>
      <c r="M567"/>
      <c r="N567"/>
      <c r="O567"/>
      <c r="P567"/>
    </row>
    <row r="568" spans="5:16" x14ac:dyDescent="0.5">
      <c r="E568"/>
      <c r="F568"/>
      <c r="G568"/>
      <c r="H568"/>
      <c r="I568"/>
      <c r="J568"/>
      <c r="K568"/>
      <c r="L568"/>
      <c r="M568"/>
      <c r="N568"/>
      <c r="O568"/>
      <c r="P568"/>
    </row>
    <row r="569" spans="5:16" x14ac:dyDescent="0.5">
      <c r="E569"/>
      <c r="F569"/>
      <c r="G569"/>
      <c r="H569"/>
      <c r="I569"/>
      <c r="J569"/>
      <c r="K569"/>
      <c r="L569"/>
      <c r="M569"/>
      <c r="N569"/>
      <c r="O569"/>
      <c r="P569"/>
    </row>
    <row r="570" spans="5:16" x14ac:dyDescent="0.5">
      <c r="E570"/>
      <c r="F570"/>
      <c r="G570"/>
      <c r="H570"/>
      <c r="I570"/>
      <c r="J570"/>
      <c r="K570"/>
      <c r="L570"/>
      <c r="M570"/>
      <c r="N570"/>
      <c r="O570"/>
      <c r="P570"/>
    </row>
    <row r="571" spans="5:16" x14ac:dyDescent="0.5">
      <c r="E571"/>
      <c r="F571"/>
      <c r="G571"/>
      <c r="H571"/>
      <c r="I571"/>
      <c r="J571"/>
      <c r="K571"/>
      <c r="L571"/>
      <c r="M571"/>
      <c r="N571"/>
      <c r="O571"/>
      <c r="P571"/>
    </row>
    <row r="572" spans="5:16" x14ac:dyDescent="0.5">
      <c r="E572"/>
      <c r="F572"/>
      <c r="G572"/>
      <c r="H572"/>
      <c r="I572"/>
      <c r="J572"/>
      <c r="K572"/>
      <c r="L572"/>
      <c r="M572"/>
      <c r="N572"/>
      <c r="O572"/>
      <c r="P572"/>
    </row>
    <row r="573" spans="5:16" x14ac:dyDescent="0.5">
      <c r="E573"/>
      <c r="F573"/>
      <c r="G573"/>
      <c r="H573"/>
      <c r="I573"/>
      <c r="J573"/>
      <c r="K573"/>
      <c r="L573"/>
      <c r="M573"/>
      <c r="N573"/>
      <c r="O573"/>
      <c r="P573"/>
    </row>
    <row r="574" spans="5:16" x14ac:dyDescent="0.5">
      <c r="E574"/>
      <c r="F574"/>
      <c r="G574"/>
      <c r="H574"/>
      <c r="I574"/>
      <c r="J574"/>
      <c r="K574"/>
      <c r="L574"/>
      <c r="M574"/>
      <c r="N574"/>
      <c r="O574"/>
      <c r="P574"/>
    </row>
    <row r="575" spans="5:16" x14ac:dyDescent="0.5">
      <c r="E575"/>
      <c r="F575"/>
      <c r="G575"/>
      <c r="H575"/>
      <c r="I575"/>
      <c r="J575"/>
      <c r="K575"/>
      <c r="L575"/>
      <c r="M575"/>
      <c r="N575"/>
      <c r="O575"/>
      <c r="P575"/>
    </row>
    <row r="576" spans="5:16" x14ac:dyDescent="0.5">
      <c r="E576"/>
      <c r="F576"/>
      <c r="G576"/>
      <c r="H576"/>
      <c r="I576"/>
      <c r="J576"/>
      <c r="K576"/>
      <c r="L576"/>
      <c r="M576"/>
      <c r="N576"/>
      <c r="O576"/>
      <c r="P576"/>
    </row>
    <row r="577" spans="5:16" x14ac:dyDescent="0.5">
      <c r="E577"/>
      <c r="F577"/>
      <c r="G577"/>
      <c r="H577"/>
      <c r="I577"/>
      <c r="J577"/>
      <c r="K577"/>
      <c r="L577"/>
      <c r="M577"/>
      <c r="N577"/>
      <c r="O577"/>
      <c r="P577"/>
    </row>
    <row r="578" spans="5:16" x14ac:dyDescent="0.5">
      <c r="E578"/>
      <c r="F578"/>
      <c r="G578"/>
      <c r="H578"/>
      <c r="I578"/>
      <c r="J578"/>
      <c r="K578"/>
      <c r="L578"/>
      <c r="M578"/>
      <c r="N578"/>
      <c r="O578"/>
      <c r="P578"/>
    </row>
    <row r="579" spans="5:16" x14ac:dyDescent="0.5">
      <c r="E579"/>
      <c r="F579"/>
      <c r="G579"/>
      <c r="H579"/>
      <c r="I579"/>
      <c r="J579"/>
      <c r="K579"/>
      <c r="L579"/>
      <c r="M579"/>
      <c r="N579"/>
      <c r="O579"/>
      <c r="P579"/>
    </row>
    <row r="580" spans="5:16" x14ac:dyDescent="0.5">
      <c r="E580"/>
      <c r="F580"/>
      <c r="G580"/>
      <c r="H580"/>
      <c r="I580"/>
      <c r="J580"/>
      <c r="K580"/>
      <c r="L580"/>
      <c r="M580"/>
      <c r="N580"/>
      <c r="O580"/>
      <c r="P580"/>
    </row>
    <row r="581" spans="5:16" x14ac:dyDescent="0.5">
      <c r="E581"/>
      <c r="F581"/>
      <c r="G581"/>
      <c r="H581"/>
      <c r="I581"/>
      <c r="J581"/>
      <c r="K581"/>
      <c r="L581"/>
      <c r="M581"/>
      <c r="N581"/>
      <c r="O581"/>
      <c r="P581"/>
    </row>
    <row r="582" spans="5:16" x14ac:dyDescent="0.5">
      <c r="E582"/>
      <c r="F582"/>
      <c r="G582"/>
      <c r="H582"/>
      <c r="I582"/>
      <c r="J582"/>
      <c r="K582"/>
      <c r="L582"/>
      <c r="M582"/>
      <c r="N582"/>
      <c r="O582"/>
      <c r="P582"/>
    </row>
    <row r="583" spans="5:16" x14ac:dyDescent="0.5">
      <c r="E583"/>
      <c r="F583"/>
      <c r="G583"/>
      <c r="H583"/>
      <c r="I583"/>
      <c r="J583"/>
      <c r="K583"/>
      <c r="L583"/>
      <c r="M583"/>
      <c r="N583"/>
      <c r="O583"/>
      <c r="P583"/>
    </row>
    <row r="584" spans="5:16" x14ac:dyDescent="0.5">
      <c r="E584"/>
      <c r="F584"/>
      <c r="G584"/>
      <c r="H584"/>
      <c r="I584"/>
      <c r="J584"/>
      <c r="K584"/>
      <c r="L584"/>
      <c r="M584"/>
      <c r="N584"/>
      <c r="O584"/>
      <c r="P584"/>
    </row>
    <row r="585" spans="5:16" x14ac:dyDescent="0.5">
      <c r="E585"/>
      <c r="F585"/>
      <c r="G585"/>
      <c r="H585"/>
      <c r="I585"/>
      <c r="J585"/>
      <c r="K585"/>
      <c r="L585"/>
      <c r="M585"/>
      <c r="N585"/>
      <c r="O585"/>
      <c r="P585"/>
    </row>
    <row r="586" spans="5:16" x14ac:dyDescent="0.5">
      <c r="E586"/>
      <c r="F586"/>
      <c r="G586"/>
      <c r="H586"/>
      <c r="I586"/>
      <c r="J586"/>
      <c r="K586"/>
      <c r="L586"/>
      <c r="M586"/>
      <c r="N586"/>
      <c r="O586"/>
      <c r="P586"/>
    </row>
    <row r="587" spans="5:16" x14ac:dyDescent="0.5">
      <c r="E587"/>
      <c r="F587"/>
      <c r="G587"/>
      <c r="H587"/>
      <c r="I587"/>
      <c r="J587"/>
      <c r="K587"/>
      <c r="L587"/>
      <c r="M587"/>
      <c r="N587"/>
      <c r="O587"/>
      <c r="P587"/>
    </row>
    <row r="588" spans="5:16" x14ac:dyDescent="0.5">
      <c r="E588"/>
      <c r="F588"/>
      <c r="G588"/>
      <c r="H588"/>
      <c r="I588"/>
      <c r="J588"/>
      <c r="K588"/>
      <c r="L588"/>
      <c r="M588"/>
      <c r="N588"/>
      <c r="O588"/>
      <c r="P588"/>
    </row>
    <row r="589" spans="5:16" x14ac:dyDescent="0.5">
      <c r="E589"/>
      <c r="F589"/>
      <c r="G589"/>
      <c r="H589"/>
      <c r="I589"/>
      <c r="J589"/>
      <c r="K589"/>
      <c r="L589"/>
      <c r="M589"/>
      <c r="N589"/>
      <c r="O589"/>
      <c r="P589"/>
    </row>
    <row r="590" spans="5:16" x14ac:dyDescent="0.5">
      <c r="E590"/>
      <c r="F590"/>
      <c r="G590"/>
      <c r="H590"/>
      <c r="I590"/>
      <c r="J590"/>
      <c r="K590"/>
      <c r="L590"/>
      <c r="M590"/>
      <c r="N590"/>
      <c r="O590"/>
      <c r="P590"/>
    </row>
    <row r="591" spans="5:16" x14ac:dyDescent="0.5">
      <c r="E591"/>
      <c r="F591"/>
      <c r="G591"/>
      <c r="H591"/>
      <c r="I591"/>
      <c r="J591"/>
      <c r="K591"/>
      <c r="L591"/>
      <c r="M591"/>
      <c r="N591"/>
      <c r="O591"/>
      <c r="P591"/>
    </row>
    <row r="592" spans="5:16" x14ac:dyDescent="0.5">
      <c r="E592"/>
      <c r="F592"/>
      <c r="G592"/>
      <c r="H592"/>
      <c r="I592"/>
      <c r="J592"/>
      <c r="K592"/>
      <c r="L592"/>
      <c r="M592"/>
      <c r="N592"/>
      <c r="O592"/>
      <c r="P592"/>
    </row>
    <row r="593" spans="5:16" x14ac:dyDescent="0.5">
      <c r="E593"/>
      <c r="F593"/>
      <c r="G593"/>
      <c r="H593"/>
      <c r="I593"/>
      <c r="J593"/>
      <c r="K593"/>
      <c r="L593"/>
      <c r="M593"/>
      <c r="N593"/>
      <c r="O593"/>
      <c r="P593"/>
    </row>
    <row r="594" spans="5:16" x14ac:dyDescent="0.5">
      <c r="E594"/>
      <c r="F594"/>
      <c r="G594"/>
      <c r="H594"/>
      <c r="I594"/>
      <c r="J594"/>
      <c r="K594"/>
      <c r="L594"/>
      <c r="M594"/>
      <c r="N594"/>
      <c r="O594"/>
      <c r="P594"/>
    </row>
    <row r="595" spans="5:16" x14ac:dyDescent="0.5">
      <c r="E595"/>
      <c r="F595"/>
      <c r="G595"/>
      <c r="H595"/>
      <c r="I595"/>
      <c r="J595"/>
      <c r="K595"/>
      <c r="L595"/>
      <c r="M595"/>
      <c r="N595"/>
      <c r="O595"/>
      <c r="P595"/>
    </row>
    <row r="596" spans="5:16" x14ac:dyDescent="0.5">
      <c r="E596"/>
      <c r="F596"/>
      <c r="G596"/>
      <c r="H596"/>
      <c r="I596"/>
      <c r="J596"/>
      <c r="K596"/>
      <c r="L596"/>
      <c r="M596"/>
      <c r="N596"/>
      <c r="O596"/>
      <c r="P596"/>
    </row>
    <row r="597" spans="5:16" x14ac:dyDescent="0.5">
      <c r="E597"/>
      <c r="F597"/>
      <c r="G597"/>
      <c r="H597"/>
      <c r="I597"/>
      <c r="J597"/>
      <c r="K597"/>
      <c r="L597"/>
      <c r="M597"/>
      <c r="N597"/>
      <c r="O597"/>
      <c r="P597"/>
    </row>
    <row r="598" spans="5:16" x14ac:dyDescent="0.5">
      <c r="E598"/>
      <c r="F598"/>
      <c r="G598"/>
      <c r="H598"/>
      <c r="I598"/>
      <c r="J598"/>
      <c r="K598"/>
      <c r="L598"/>
      <c r="M598"/>
      <c r="N598"/>
      <c r="O598"/>
      <c r="P598"/>
    </row>
    <row r="599" spans="5:16" x14ac:dyDescent="0.5">
      <c r="E599"/>
      <c r="F599"/>
      <c r="G599"/>
      <c r="H599"/>
      <c r="I599"/>
      <c r="J599"/>
      <c r="K599"/>
      <c r="L599"/>
      <c r="M599"/>
      <c r="N599"/>
      <c r="O599"/>
      <c r="P599"/>
    </row>
    <row r="600" spans="5:16" x14ac:dyDescent="0.5">
      <c r="E600"/>
      <c r="F600"/>
      <c r="G600"/>
      <c r="H600"/>
      <c r="I600"/>
      <c r="J600"/>
      <c r="K600"/>
      <c r="L600"/>
      <c r="M600"/>
      <c r="N600"/>
      <c r="O600"/>
      <c r="P600"/>
    </row>
    <row r="601" spans="5:16" x14ac:dyDescent="0.5">
      <c r="E601"/>
      <c r="F601"/>
      <c r="G601"/>
      <c r="H601"/>
      <c r="I601"/>
      <c r="J601"/>
      <c r="K601"/>
      <c r="L601"/>
      <c r="M601"/>
      <c r="N601"/>
      <c r="O601"/>
      <c r="P601"/>
    </row>
    <row r="602" spans="5:16" x14ac:dyDescent="0.5">
      <c r="E602"/>
      <c r="F602"/>
      <c r="G602"/>
      <c r="H602"/>
      <c r="I602"/>
      <c r="J602"/>
      <c r="K602"/>
      <c r="L602"/>
      <c r="M602"/>
      <c r="N602"/>
      <c r="O602"/>
      <c r="P602"/>
    </row>
    <row r="603" spans="5:16" x14ac:dyDescent="0.5">
      <c r="E603"/>
      <c r="F603"/>
      <c r="G603"/>
      <c r="H603"/>
      <c r="I603"/>
      <c r="J603"/>
      <c r="K603"/>
      <c r="L603"/>
      <c r="M603"/>
      <c r="N603"/>
      <c r="O603"/>
      <c r="P603"/>
    </row>
    <row r="604" spans="5:16" x14ac:dyDescent="0.5">
      <c r="E604"/>
      <c r="F604"/>
      <c r="G604"/>
      <c r="H604"/>
      <c r="I604"/>
      <c r="J604"/>
      <c r="K604"/>
      <c r="L604"/>
      <c r="M604"/>
      <c r="N604"/>
      <c r="O604"/>
      <c r="P604"/>
    </row>
    <row r="605" spans="5:16" x14ac:dyDescent="0.5">
      <c r="E605"/>
      <c r="F605"/>
      <c r="G605"/>
      <c r="H605"/>
      <c r="I605"/>
      <c r="J605"/>
      <c r="K605"/>
      <c r="L605"/>
      <c r="M605"/>
      <c r="N605"/>
      <c r="O605"/>
      <c r="P605"/>
    </row>
    <row r="606" spans="5:16" x14ac:dyDescent="0.5">
      <c r="E606"/>
      <c r="F606"/>
      <c r="G606"/>
      <c r="H606"/>
      <c r="I606"/>
      <c r="J606"/>
      <c r="K606"/>
      <c r="L606"/>
      <c r="M606"/>
      <c r="N606"/>
      <c r="O606"/>
      <c r="P606"/>
    </row>
    <row r="607" spans="5:16" x14ac:dyDescent="0.5">
      <c r="E607"/>
      <c r="F607"/>
      <c r="G607"/>
      <c r="H607"/>
      <c r="I607"/>
      <c r="J607"/>
      <c r="K607"/>
      <c r="L607"/>
      <c r="M607"/>
      <c r="N607"/>
      <c r="O607"/>
      <c r="P607"/>
    </row>
    <row r="608" spans="5:16" x14ac:dyDescent="0.5">
      <c r="E608"/>
      <c r="F608"/>
      <c r="G608"/>
      <c r="H608"/>
      <c r="I608"/>
      <c r="J608"/>
      <c r="K608"/>
      <c r="L608"/>
      <c r="M608"/>
      <c r="N608"/>
      <c r="O608"/>
      <c r="P608"/>
    </row>
    <row r="609" spans="5:16" x14ac:dyDescent="0.5">
      <c r="E609"/>
      <c r="F609"/>
      <c r="G609"/>
      <c r="H609"/>
      <c r="I609"/>
      <c r="J609"/>
      <c r="K609"/>
      <c r="L609"/>
      <c r="M609"/>
      <c r="N609"/>
      <c r="O609"/>
      <c r="P609"/>
    </row>
    <row r="610" spans="5:16" x14ac:dyDescent="0.5">
      <c r="E610"/>
      <c r="F610"/>
      <c r="G610"/>
      <c r="H610"/>
      <c r="I610"/>
      <c r="J610"/>
      <c r="K610"/>
      <c r="L610"/>
      <c r="M610"/>
      <c r="N610"/>
      <c r="O610"/>
      <c r="P610"/>
    </row>
    <row r="611" spans="5:16" x14ac:dyDescent="0.5">
      <c r="E611"/>
      <c r="F611"/>
      <c r="G611"/>
      <c r="H611"/>
      <c r="I611"/>
      <c r="J611"/>
      <c r="K611"/>
      <c r="L611"/>
      <c r="M611"/>
      <c r="N611"/>
      <c r="O611"/>
      <c r="P611"/>
    </row>
    <row r="612" spans="5:16" x14ac:dyDescent="0.5">
      <c r="E612"/>
      <c r="F612"/>
      <c r="G612"/>
      <c r="H612"/>
      <c r="I612"/>
      <c r="J612"/>
      <c r="K612"/>
      <c r="L612"/>
      <c r="M612"/>
      <c r="N612"/>
      <c r="O612"/>
      <c r="P612"/>
    </row>
    <row r="613" spans="5:16" x14ac:dyDescent="0.5">
      <c r="E613"/>
      <c r="F613"/>
      <c r="G613"/>
      <c r="H613"/>
      <c r="I613"/>
      <c r="J613"/>
      <c r="K613"/>
      <c r="L613"/>
      <c r="M613"/>
      <c r="N613"/>
      <c r="O613"/>
      <c r="P613"/>
    </row>
    <row r="614" spans="5:16" x14ac:dyDescent="0.5">
      <c r="E614"/>
      <c r="F614"/>
      <c r="G614"/>
      <c r="H614"/>
      <c r="I614"/>
      <c r="J614"/>
      <c r="K614"/>
      <c r="L614"/>
      <c r="M614"/>
      <c r="N614"/>
      <c r="O614"/>
      <c r="P614"/>
    </row>
    <row r="615" spans="5:16" x14ac:dyDescent="0.5">
      <c r="E615"/>
      <c r="F615"/>
      <c r="G615"/>
      <c r="H615"/>
      <c r="I615"/>
      <c r="J615"/>
      <c r="K615"/>
      <c r="L615"/>
      <c r="M615"/>
      <c r="N615"/>
      <c r="O615"/>
      <c r="P615"/>
    </row>
    <row r="616" spans="5:16" x14ac:dyDescent="0.5">
      <c r="E616"/>
      <c r="F616"/>
      <c r="G616"/>
      <c r="H616"/>
      <c r="I616"/>
      <c r="J616"/>
      <c r="K616"/>
      <c r="L616"/>
      <c r="M616"/>
      <c r="N616"/>
      <c r="O616"/>
      <c r="P616"/>
    </row>
    <row r="617" spans="5:16" x14ac:dyDescent="0.5">
      <c r="E617"/>
      <c r="F617"/>
      <c r="G617"/>
      <c r="H617"/>
      <c r="I617"/>
      <c r="J617"/>
      <c r="K617"/>
      <c r="L617"/>
      <c r="M617"/>
      <c r="N617"/>
      <c r="O617"/>
      <c r="P617"/>
    </row>
    <row r="618" spans="5:16" x14ac:dyDescent="0.5">
      <c r="E618"/>
      <c r="F618"/>
      <c r="G618"/>
      <c r="H618"/>
      <c r="I618"/>
      <c r="J618"/>
      <c r="K618"/>
      <c r="L618"/>
      <c r="M618"/>
      <c r="N618"/>
      <c r="O618"/>
      <c r="P618"/>
    </row>
    <row r="619" spans="5:16" x14ac:dyDescent="0.5">
      <c r="E619"/>
      <c r="F619"/>
      <c r="G619"/>
      <c r="H619"/>
      <c r="I619"/>
      <c r="J619"/>
      <c r="K619"/>
      <c r="L619"/>
      <c r="M619"/>
      <c r="N619"/>
      <c r="O619"/>
      <c r="P619"/>
    </row>
    <row r="620" spans="5:16" x14ac:dyDescent="0.5">
      <c r="E620"/>
      <c r="F620"/>
      <c r="G620"/>
      <c r="H620"/>
      <c r="I620"/>
      <c r="J620"/>
      <c r="K620"/>
      <c r="L620"/>
      <c r="M620"/>
      <c r="N620"/>
      <c r="O620"/>
      <c r="P620"/>
    </row>
    <row r="621" spans="5:16" x14ac:dyDescent="0.5">
      <c r="E621"/>
      <c r="F621"/>
      <c r="G621"/>
      <c r="H621"/>
      <c r="I621"/>
      <c r="J621"/>
      <c r="K621"/>
      <c r="L621"/>
      <c r="M621"/>
      <c r="N621"/>
      <c r="O621"/>
      <c r="P621"/>
    </row>
    <row r="622" spans="5:16" x14ac:dyDescent="0.5">
      <c r="E622"/>
      <c r="F622"/>
      <c r="G622"/>
      <c r="H622"/>
      <c r="I622"/>
      <c r="J622"/>
      <c r="K622"/>
      <c r="L622"/>
      <c r="M622"/>
      <c r="N622"/>
      <c r="O622"/>
      <c r="P622"/>
    </row>
    <row r="623" spans="5:16" x14ac:dyDescent="0.5">
      <c r="E623"/>
      <c r="F623"/>
      <c r="G623"/>
      <c r="H623"/>
      <c r="I623"/>
      <c r="J623"/>
      <c r="K623"/>
      <c r="L623"/>
      <c r="M623"/>
      <c r="N623"/>
      <c r="O623"/>
      <c r="P623"/>
    </row>
    <row r="624" spans="5:16" x14ac:dyDescent="0.5">
      <c r="E624"/>
      <c r="F624"/>
      <c r="G624"/>
      <c r="H624"/>
      <c r="I624"/>
      <c r="J624"/>
      <c r="K624"/>
      <c r="L624"/>
      <c r="M624"/>
      <c r="N624"/>
      <c r="O624"/>
      <c r="P624"/>
    </row>
    <row r="625" spans="5:16" x14ac:dyDescent="0.5">
      <c r="E625"/>
      <c r="F625"/>
      <c r="G625"/>
      <c r="H625"/>
      <c r="I625"/>
      <c r="J625"/>
      <c r="K625"/>
      <c r="L625"/>
      <c r="M625"/>
      <c r="N625"/>
      <c r="O625"/>
      <c r="P625"/>
    </row>
    <row r="626" spans="5:16" x14ac:dyDescent="0.5">
      <c r="E626"/>
      <c r="F626"/>
      <c r="G626"/>
      <c r="H626"/>
      <c r="I626"/>
      <c r="J626"/>
      <c r="K626"/>
      <c r="L626"/>
      <c r="M626"/>
      <c r="N626"/>
      <c r="O626"/>
      <c r="P626"/>
    </row>
    <row r="627" spans="5:16" x14ac:dyDescent="0.5">
      <c r="E627"/>
      <c r="F627"/>
      <c r="G627"/>
      <c r="H627"/>
      <c r="I627"/>
      <c r="J627"/>
      <c r="K627"/>
      <c r="L627"/>
      <c r="M627"/>
      <c r="N627"/>
      <c r="O627"/>
      <c r="P627"/>
    </row>
    <row r="628" spans="5:16" x14ac:dyDescent="0.5">
      <c r="E628"/>
      <c r="F628"/>
      <c r="G628"/>
      <c r="H628"/>
      <c r="I628"/>
      <c r="J628"/>
      <c r="K628"/>
      <c r="L628"/>
      <c r="M628"/>
      <c r="N628"/>
      <c r="O628"/>
      <c r="P628"/>
    </row>
    <row r="629" spans="5:16" x14ac:dyDescent="0.5">
      <c r="E629"/>
      <c r="F629"/>
      <c r="G629"/>
      <c r="H629"/>
      <c r="I629"/>
      <c r="J629"/>
      <c r="K629"/>
      <c r="L629"/>
      <c r="M629"/>
      <c r="N629"/>
      <c r="O629"/>
      <c r="P629"/>
    </row>
    <row r="630" spans="5:16" x14ac:dyDescent="0.5">
      <c r="E630"/>
      <c r="F630"/>
      <c r="G630"/>
      <c r="H630"/>
      <c r="I630"/>
      <c r="J630"/>
      <c r="K630"/>
      <c r="L630"/>
      <c r="M630"/>
      <c r="N630"/>
      <c r="O630"/>
      <c r="P630"/>
    </row>
    <row r="631" spans="5:16" x14ac:dyDescent="0.5">
      <c r="E631"/>
      <c r="F631"/>
      <c r="G631"/>
      <c r="H631"/>
      <c r="I631"/>
      <c r="J631"/>
      <c r="K631"/>
      <c r="L631"/>
      <c r="M631"/>
      <c r="N631"/>
      <c r="O631"/>
      <c r="P631"/>
    </row>
    <row r="632" spans="5:16" x14ac:dyDescent="0.5">
      <c r="E632"/>
      <c r="F632"/>
      <c r="G632"/>
      <c r="H632"/>
      <c r="I632"/>
      <c r="J632"/>
      <c r="K632"/>
      <c r="L632"/>
      <c r="M632"/>
      <c r="N632"/>
      <c r="O632"/>
      <c r="P632"/>
    </row>
    <row r="633" spans="5:16" x14ac:dyDescent="0.5">
      <c r="E633"/>
      <c r="F633"/>
      <c r="G633"/>
      <c r="H633"/>
      <c r="I633"/>
      <c r="J633"/>
      <c r="K633"/>
      <c r="L633"/>
      <c r="M633"/>
      <c r="N633"/>
      <c r="O633"/>
      <c r="P633"/>
    </row>
    <row r="634" spans="5:16" x14ac:dyDescent="0.5">
      <c r="E634"/>
      <c r="F634"/>
      <c r="G634"/>
      <c r="H634"/>
      <c r="I634"/>
      <c r="J634"/>
      <c r="K634"/>
      <c r="L634"/>
      <c r="M634"/>
      <c r="N634"/>
      <c r="O634"/>
      <c r="P634"/>
    </row>
    <row r="635" spans="5:16" x14ac:dyDescent="0.5">
      <c r="E635"/>
      <c r="F635"/>
      <c r="G635"/>
      <c r="H635"/>
      <c r="I635"/>
      <c r="J635"/>
      <c r="K635"/>
      <c r="L635"/>
      <c r="M635"/>
      <c r="N635"/>
      <c r="O635"/>
      <c r="P635"/>
    </row>
    <row r="636" spans="5:16" x14ac:dyDescent="0.5">
      <c r="E636"/>
      <c r="F636"/>
      <c r="G636"/>
      <c r="H636"/>
      <c r="I636"/>
      <c r="J636"/>
      <c r="K636"/>
      <c r="L636"/>
      <c r="M636"/>
      <c r="N636"/>
      <c r="O636"/>
      <c r="P636"/>
    </row>
    <row r="637" spans="5:16" x14ac:dyDescent="0.5">
      <c r="E637"/>
      <c r="F637"/>
      <c r="G637"/>
      <c r="H637"/>
      <c r="I637"/>
      <c r="J637"/>
      <c r="K637"/>
      <c r="L637"/>
      <c r="M637"/>
      <c r="N637"/>
      <c r="O637"/>
      <c r="P637"/>
    </row>
    <row r="638" spans="5:16" x14ac:dyDescent="0.5">
      <c r="E638"/>
      <c r="F638"/>
      <c r="G638"/>
      <c r="H638"/>
      <c r="I638"/>
      <c r="J638"/>
      <c r="K638"/>
      <c r="L638"/>
      <c r="M638"/>
      <c r="N638"/>
      <c r="O638"/>
      <c r="P638"/>
    </row>
    <row r="639" spans="5:16" x14ac:dyDescent="0.5">
      <c r="E639"/>
      <c r="F639"/>
      <c r="G639"/>
      <c r="H639"/>
      <c r="I639"/>
      <c r="J639"/>
      <c r="K639"/>
      <c r="L639"/>
      <c r="M639"/>
      <c r="N639"/>
      <c r="O639"/>
      <c r="P639"/>
    </row>
    <row r="640" spans="5:16" x14ac:dyDescent="0.5">
      <c r="E640"/>
      <c r="F640"/>
      <c r="G640"/>
      <c r="H640"/>
      <c r="I640"/>
      <c r="J640"/>
      <c r="K640"/>
      <c r="L640"/>
      <c r="M640"/>
      <c r="N640"/>
      <c r="O640"/>
      <c r="P640"/>
    </row>
    <row r="641" spans="5:16" x14ac:dyDescent="0.5">
      <c r="E641"/>
      <c r="F641"/>
      <c r="G641"/>
      <c r="H641"/>
      <c r="I641"/>
      <c r="J641"/>
      <c r="K641"/>
      <c r="L641"/>
      <c r="M641"/>
      <c r="N641"/>
      <c r="O641"/>
      <c r="P641"/>
    </row>
    <row r="642" spans="5:16" x14ac:dyDescent="0.5">
      <c r="E642"/>
      <c r="F642"/>
      <c r="G642"/>
      <c r="H642"/>
      <c r="I642"/>
      <c r="J642"/>
      <c r="K642"/>
      <c r="L642"/>
      <c r="M642"/>
      <c r="N642"/>
      <c r="O642"/>
      <c r="P642"/>
    </row>
    <row r="643" spans="5:16" x14ac:dyDescent="0.5">
      <c r="E643"/>
      <c r="F643"/>
      <c r="G643"/>
      <c r="H643"/>
      <c r="I643"/>
      <c r="J643"/>
      <c r="K643"/>
      <c r="L643"/>
      <c r="M643"/>
      <c r="N643"/>
      <c r="O643"/>
      <c r="P643"/>
    </row>
    <row r="644" spans="5:16" x14ac:dyDescent="0.5">
      <c r="E644"/>
      <c r="F644"/>
      <c r="G644"/>
      <c r="H644"/>
      <c r="I644"/>
      <c r="J644"/>
      <c r="K644"/>
      <c r="L644"/>
      <c r="M644"/>
      <c r="N644"/>
      <c r="O644"/>
      <c r="P644"/>
    </row>
    <row r="645" spans="5:16" x14ac:dyDescent="0.5">
      <c r="E645"/>
      <c r="F645"/>
      <c r="G645"/>
      <c r="H645"/>
      <c r="I645"/>
      <c r="J645"/>
      <c r="K645"/>
      <c r="L645"/>
      <c r="M645"/>
      <c r="N645"/>
      <c r="O645"/>
      <c r="P645"/>
    </row>
    <row r="646" spans="5:16" x14ac:dyDescent="0.5">
      <c r="E646"/>
      <c r="F646"/>
      <c r="G646"/>
      <c r="H646"/>
      <c r="I646"/>
      <c r="J646"/>
      <c r="K646"/>
      <c r="L646"/>
      <c r="M646"/>
      <c r="N646"/>
      <c r="O646"/>
      <c r="P646"/>
    </row>
    <row r="647" spans="5:16" x14ac:dyDescent="0.5">
      <c r="E647"/>
      <c r="F647"/>
      <c r="G647"/>
      <c r="H647"/>
      <c r="I647"/>
      <c r="J647"/>
      <c r="K647"/>
      <c r="L647"/>
      <c r="M647"/>
      <c r="N647"/>
      <c r="O647"/>
      <c r="P647"/>
    </row>
    <row r="648" spans="5:16" x14ac:dyDescent="0.5">
      <c r="E648"/>
      <c r="F648"/>
      <c r="G648"/>
      <c r="H648"/>
      <c r="I648"/>
      <c r="J648"/>
      <c r="K648"/>
      <c r="L648"/>
      <c r="M648"/>
      <c r="N648"/>
      <c r="O648"/>
      <c r="P648"/>
    </row>
    <row r="649" spans="5:16" x14ac:dyDescent="0.5">
      <c r="E649"/>
      <c r="F649"/>
      <c r="G649"/>
      <c r="H649"/>
      <c r="I649"/>
      <c r="J649"/>
      <c r="K649"/>
      <c r="L649"/>
      <c r="M649"/>
      <c r="N649"/>
      <c r="O649"/>
      <c r="P649"/>
    </row>
    <row r="650" spans="5:16" x14ac:dyDescent="0.5">
      <c r="E650"/>
      <c r="F650"/>
      <c r="G650"/>
      <c r="H650"/>
      <c r="I650"/>
      <c r="J650"/>
      <c r="K650"/>
      <c r="L650"/>
      <c r="M650"/>
      <c r="N650"/>
      <c r="O650"/>
      <c r="P650"/>
    </row>
    <row r="651" spans="5:16" x14ac:dyDescent="0.5">
      <c r="E651"/>
      <c r="F651"/>
      <c r="G651"/>
      <c r="H651"/>
      <c r="I651"/>
      <c r="J651"/>
      <c r="K651"/>
      <c r="L651"/>
      <c r="M651"/>
      <c r="N651"/>
      <c r="O651"/>
      <c r="P651"/>
    </row>
    <row r="652" spans="5:16" x14ac:dyDescent="0.5">
      <c r="E652"/>
      <c r="F652"/>
      <c r="G652"/>
      <c r="H652"/>
      <c r="I652"/>
      <c r="J652"/>
      <c r="K652"/>
      <c r="L652"/>
      <c r="M652"/>
      <c r="N652"/>
      <c r="O652"/>
      <c r="P652"/>
    </row>
    <row r="653" spans="5:16" x14ac:dyDescent="0.5">
      <c r="E653"/>
      <c r="F653"/>
      <c r="G653"/>
      <c r="H653"/>
      <c r="I653"/>
      <c r="J653"/>
      <c r="K653"/>
      <c r="L653"/>
      <c r="M653"/>
      <c r="N653"/>
      <c r="O653"/>
      <c r="P653"/>
    </row>
    <row r="654" spans="5:16" x14ac:dyDescent="0.5">
      <c r="E654"/>
      <c r="F654"/>
      <c r="G654"/>
      <c r="H654"/>
      <c r="I654"/>
      <c r="J654"/>
      <c r="K654"/>
      <c r="L654"/>
      <c r="M654"/>
      <c r="N654"/>
      <c r="O654"/>
      <c r="P654"/>
    </row>
    <row r="655" spans="5:16" x14ac:dyDescent="0.5">
      <c r="E655"/>
      <c r="F655"/>
      <c r="G655"/>
      <c r="H655"/>
      <c r="I655"/>
      <c r="J655"/>
      <c r="K655"/>
      <c r="L655"/>
      <c r="M655"/>
      <c r="N655"/>
      <c r="O655"/>
      <c r="P655"/>
    </row>
    <row r="656" spans="5:16" x14ac:dyDescent="0.5">
      <c r="E656"/>
      <c r="F656"/>
      <c r="G656"/>
      <c r="H656"/>
      <c r="I656"/>
      <c r="J656"/>
      <c r="K656"/>
      <c r="L656"/>
      <c r="M656"/>
      <c r="N656"/>
      <c r="O656"/>
      <c r="P656"/>
    </row>
    <row r="657" spans="5:16" x14ac:dyDescent="0.5">
      <c r="E657"/>
      <c r="F657"/>
      <c r="G657"/>
      <c r="H657"/>
      <c r="I657"/>
      <c r="J657"/>
      <c r="K657"/>
      <c r="L657"/>
      <c r="M657"/>
      <c r="N657"/>
      <c r="O657"/>
      <c r="P657"/>
    </row>
    <row r="658" spans="5:16" x14ac:dyDescent="0.5">
      <c r="E658"/>
      <c r="F658"/>
      <c r="G658"/>
      <c r="H658"/>
      <c r="I658"/>
      <c r="J658"/>
      <c r="K658"/>
      <c r="L658"/>
      <c r="M658"/>
      <c r="N658"/>
      <c r="O658"/>
      <c r="P658"/>
    </row>
    <row r="659" spans="5:16" x14ac:dyDescent="0.5">
      <c r="E659"/>
      <c r="F659"/>
      <c r="G659"/>
      <c r="H659"/>
      <c r="I659"/>
      <c r="J659"/>
      <c r="K659"/>
      <c r="L659"/>
      <c r="M659"/>
      <c r="N659"/>
      <c r="O659"/>
      <c r="P659"/>
    </row>
    <row r="660" spans="5:16" x14ac:dyDescent="0.5">
      <c r="E660"/>
      <c r="F660"/>
      <c r="G660"/>
      <c r="H660"/>
      <c r="I660"/>
      <c r="J660"/>
      <c r="K660"/>
      <c r="L660"/>
      <c r="M660"/>
      <c r="N660"/>
      <c r="O660"/>
      <c r="P660"/>
    </row>
    <row r="661" spans="5:16" x14ac:dyDescent="0.5">
      <c r="E661"/>
      <c r="F661"/>
      <c r="G661"/>
      <c r="H661"/>
      <c r="I661"/>
      <c r="J661"/>
      <c r="K661"/>
      <c r="L661"/>
      <c r="M661"/>
      <c r="N661"/>
      <c r="O661"/>
      <c r="P661"/>
    </row>
    <row r="662" spans="5:16" x14ac:dyDescent="0.5">
      <c r="E662"/>
      <c r="F662"/>
      <c r="G662"/>
      <c r="H662"/>
      <c r="I662"/>
      <c r="J662"/>
      <c r="K662"/>
      <c r="L662"/>
      <c r="M662"/>
      <c r="N662"/>
      <c r="O662"/>
      <c r="P662"/>
    </row>
    <row r="663" spans="5:16" x14ac:dyDescent="0.5">
      <c r="E663"/>
      <c r="F663"/>
      <c r="G663"/>
      <c r="H663"/>
      <c r="I663"/>
      <c r="J663"/>
      <c r="K663"/>
      <c r="L663"/>
      <c r="M663"/>
      <c r="N663"/>
      <c r="O663"/>
      <c r="P663"/>
    </row>
    <row r="664" spans="5:16" x14ac:dyDescent="0.5">
      <c r="E664"/>
      <c r="F664"/>
      <c r="G664"/>
      <c r="H664"/>
      <c r="I664"/>
      <c r="J664"/>
      <c r="K664"/>
      <c r="L664"/>
      <c r="M664"/>
      <c r="N664"/>
      <c r="O664"/>
      <c r="P664"/>
    </row>
    <row r="665" spans="5:16" x14ac:dyDescent="0.5">
      <c r="E665"/>
      <c r="F665"/>
      <c r="G665"/>
      <c r="H665"/>
      <c r="I665"/>
      <c r="J665"/>
      <c r="K665"/>
      <c r="L665"/>
      <c r="M665"/>
      <c r="N665"/>
      <c r="O665"/>
      <c r="P665"/>
    </row>
    <row r="666" spans="5:16" x14ac:dyDescent="0.5">
      <c r="E666"/>
      <c r="F666"/>
      <c r="G666"/>
      <c r="H666"/>
      <c r="I666"/>
      <c r="J666"/>
      <c r="K666"/>
      <c r="L666"/>
      <c r="M666"/>
      <c r="N666"/>
      <c r="O666"/>
      <c r="P666"/>
    </row>
    <row r="667" spans="5:16" x14ac:dyDescent="0.5">
      <c r="E667"/>
      <c r="F667"/>
      <c r="G667"/>
      <c r="H667"/>
      <c r="I667"/>
      <c r="J667"/>
      <c r="K667"/>
      <c r="L667"/>
      <c r="M667"/>
      <c r="N667"/>
      <c r="O667"/>
      <c r="P667"/>
    </row>
    <row r="668" spans="5:16" x14ac:dyDescent="0.5">
      <c r="E668"/>
      <c r="F668"/>
      <c r="G668"/>
      <c r="H668"/>
      <c r="I668"/>
      <c r="J668"/>
      <c r="K668"/>
      <c r="L668"/>
      <c r="M668"/>
      <c r="N668"/>
      <c r="O668"/>
      <c r="P668"/>
    </row>
    <row r="669" spans="5:16" x14ac:dyDescent="0.5">
      <c r="E669"/>
      <c r="F669"/>
      <c r="G669"/>
      <c r="H669"/>
      <c r="I669"/>
      <c r="J669"/>
      <c r="K669"/>
      <c r="L669"/>
      <c r="M669"/>
      <c r="N669"/>
      <c r="O669"/>
      <c r="P669"/>
    </row>
    <row r="670" spans="5:16" x14ac:dyDescent="0.5">
      <c r="E670"/>
      <c r="F670"/>
      <c r="G670"/>
      <c r="H670"/>
      <c r="I670"/>
      <c r="J670"/>
      <c r="K670"/>
      <c r="L670"/>
      <c r="M670"/>
      <c r="N670"/>
      <c r="O670"/>
      <c r="P670"/>
    </row>
    <row r="671" spans="5:16" x14ac:dyDescent="0.5">
      <c r="E671"/>
      <c r="F671"/>
      <c r="G671"/>
      <c r="H671"/>
      <c r="I671"/>
      <c r="J671"/>
      <c r="K671"/>
      <c r="L671"/>
      <c r="M671"/>
      <c r="N671"/>
      <c r="O671"/>
      <c r="P671"/>
    </row>
    <row r="672" spans="5:16" x14ac:dyDescent="0.5">
      <c r="E672"/>
      <c r="F672"/>
      <c r="G672"/>
      <c r="H672"/>
      <c r="I672"/>
      <c r="J672"/>
      <c r="K672"/>
      <c r="L672"/>
      <c r="M672"/>
      <c r="N672"/>
      <c r="O672"/>
      <c r="P672"/>
    </row>
    <row r="673" spans="5:16" x14ac:dyDescent="0.5">
      <c r="E673"/>
      <c r="F673"/>
      <c r="G673"/>
      <c r="H673"/>
      <c r="I673"/>
      <c r="J673"/>
      <c r="K673"/>
      <c r="L673"/>
      <c r="M673"/>
      <c r="N673"/>
      <c r="O673"/>
      <c r="P673"/>
    </row>
    <row r="674" spans="5:16" x14ac:dyDescent="0.5">
      <c r="E674"/>
      <c r="F674"/>
      <c r="G674"/>
      <c r="H674"/>
      <c r="I674"/>
      <c r="J674"/>
      <c r="K674"/>
      <c r="L674"/>
      <c r="M674"/>
      <c r="N674"/>
      <c r="O674"/>
      <c r="P674"/>
    </row>
    <row r="675" spans="5:16" x14ac:dyDescent="0.5">
      <c r="E675"/>
      <c r="F675"/>
      <c r="G675"/>
      <c r="H675"/>
      <c r="I675"/>
      <c r="J675"/>
      <c r="K675"/>
      <c r="L675"/>
      <c r="M675"/>
      <c r="N675"/>
      <c r="O675"/>
      <c r="P675"/>
    </row>
    <row r="676" spans="5:16" x14ac:dyDescent="0.5">
      <c r="E676"/>
      <c r="F676"/>
      <c r="G676"/>
      <c r="H676"/>
      <c r="I676"/>
      <c r="J676"/>
      <c r="K676"/>
      <c r="L676"/>
      <c r="M676"/>
      <c r="N676"/>
      <c r="O676"/>
      <c r="P676"/>
    </row>
    <row r="677" spans="5:16" x14ac:dyDescent="0.5">
      <c r="E677"/>
      <c r="F677"/>
      <c r="G677"/>
      <c r="H677"/>
      <c r="I677"/>
      <c r="J677"/>
      <c r="K677"/>
      <c r="L677"/>
      <c r="M677"/>
      <c r="N677"/>
      <c r="O677"/>
      <c r="P677"/>
    </row>
    <row r="678" spans="5:16" x14ac:dyDescent="0.5">
      <c r="E678"/>
      <c r="F678"/>
      <c r="G678"/>
      <c r="H678"/>
      <c r="I678"/>
      <c r="J678"/>
      <c r="K678"/>
      <c r="L678"/>
      <c r="M678"/>
      <c r="N678"/>
      <c r="O678"/>
      <c r="P678"/>
    </row>
    <row r="679" spans="5:16" x14ac:dyDescent="0.5">
      <c r="E679"/>
      <c r="F679"/>
      <c r="G679"/>
      <c r="H679"/>
      <c r="I679"/>
      <c r="J679"/>
      <c r="K679"/>
      <c r="L679"/>
      <c r="M679"/>
      <c r="N679"/>
      <c r="O679"/>
      <c r="P679"/>
    </row>
    <row r="680" spans="5:16" x14ac:dyDescent="0.5">
      <c r="E680"/>
      <c r="F680"/>
      <c r="G680"/>
      <c r="H680"/>
      <c r="I680"/>
      <c r="J680"/>
      <c r="K680"/>
      <c r="L680"/>
      <c r="M680"/>
      <c r="N680"/>
      <c r="O680"/>
      <c r="P680"/>
    </row>
    <row r="681" spans="5:16" x14ac:dyDescent="0.5">
      <c r="E681"/>
      <c r="F681"/>
      <c r="G681"/>
      <c r="H681"/>
      <c r="I681"/>
      <c r="J681"/>
      <c r="K681"/>
      <c r="L681"/>
      <c r="M681"/>
      <c r="N681"/>
      <c r="O681"/>
      <c r="P681"/>
    </row>
    <row r="682" spans="5:16" x14ac:dyDescent="0.5">
      <c r="E682"/>
      <c r="F682"/>
      <c r="G682"/>
      <c r="H682"/>
      <c r="I682"/>
      <c r="J682"/>
      <c r="K682"/>
      <c r="L682"/>
      <c r="M682"/>
      <c r="N682"/>
      <c r="O682"/>
      <c r="P682"/>
    </row>
    <row r="683" spans="5:16" x14ac:dyDescent="0.5">
      <c r="E683"/>
      <c r="F683"/>
      <c r="G683"/>
      <c r="H683"/>
      <c r="I683"/>
      <c r="J683"/>
      <c r="K683"/>
      <c r="L683"/>
      <c r="M683"/>
      <c r="N683"/>
      <c r="O683"/>
      <c r="P683"/>
    </row>
    <row r="684" spans="5:16" x14ac:dyDescent="0.5">
      <c r="E684"/>
      <c r="F684"/>
      <c r="G684"/>
      <c r="H684"/>
      <c r="I684"/>
      <c r="J684"/>
      <c r="K684"/>
      <c r="L684"/>
      <c r="M684"/>
      <c r="N684"/>
      <c r="O684"/>
      <c r="P684"/>
    </row>
    <row r="685" spans="5:16" x14ac:dyDescent="0.5">
      <c r="E685"/>
      <c r="F685"/>
      <c r="G685"/>
      <c r="H685"/>
      <c r="I685"/>
      <c r="J685"/>
      <c r="K685"/>
      <c r="L685"/>
      <c r="M685"/>
      <c r="N685"/>
      <c r="O685"/>
      <c r="P685"/>
    </row>
    <row r="686" spans="5:16" x14ac:dyDescent="0.5">
      <c r="E686"/>
      <c r="F686"/>
      <c r="G686"/>
      <c r="H686"/>
      <c r="I686"/>
      <c r="J686"/>
      <c r="K686"/>
      <c r="L686"/>
      <c r="M686"/>
      <c r="N686"/>
      <c r="O686"/>
      <c r="P686"/>
    </row>
    <row r="687" spans="5:16" x14ac:dyDescent="0.5">
      <c r="E687"/>
      <c r="F687"/>
      <c r="G687"/>
      <c r="H687"/>
      <c r="I687"/>
      <c r="J687"/>
      <c r="K687"/>
      <c r="L687"/>
      <c r="M687"/>
      <c r="N687"/>
      <c r="O687"/>
      <c r="P687"/>
    </row>
    <row r="688" spans="5:16" x14ac:dyDescent="0.5">
      <c r="E688"/>
      <c r="F688"/>
      <c r="G688"/>
      <c r="H688"/>
      <c r="I688"/>
      <c r="J688"/>
      <c r="K688"/>
      <c r="L688"/>
      <c r="M688"/>
      <c r="N688"/>
      <c r="O688"/>
      <c r="P688"/>
    </row>
    <row r="689" spans="5:16" x14ac:dyDescent="0.5">
      <c r="E689"/>
      <c r="F689"/>
      <c r="G689"/>
      <c r="H689"/>
      <c r="I689"/>
      <c r="J689"/>
      <c r="K689"/>
      <c r="L689"/>
      <c r="M689"/>
      <c r="N689"/>
      <c r="O689"/>
      <c r="P689"/>
    </row>
    <row r="690" spans="5:16" x14ac:dyDescent="0.5">
      <c r="E690"/>
      <c r="F690"/>
      <c r="G690"/>
      <c r="H690"/>
      <c r="I690"/>
      <c r="J690"/>
      <c r="K690"/>
      <c r="L690"/>
      <c r="M690"/>
      <c r="N690"/>
      <c r="O690"/>
      <c r="P690"/>
    </row>
    <row r="691" spans="5:16" x14ac:dyDescent="0.5">
      <c r="E691"/>
      <c r="F691"/>
      <c r="G691"/>
      <c r="H691"/>
      <c r="I691"/>
      <c r="J691"/>
      <c r="K691"/>
      <c r="L691"/>
      <c r="M691"/>
      <c r="N691"/>
      <c r="O691"/>
      <c r="P691"/>
    </row>
    <row r="692" spans="5:16" x14ac:dyDescent="0.5">
      <c r="E692"/>
      <c r="F692"/>
      <c r="G692"/>
      <c r="H692"/>
      <c r="I692"/>
      <c r="J692"/>
      <c r="K692"/>
      <c r="L692"/>
      <c r="M692"/>
      <c r="N692"/>
      <c r="O692"/>
      <c r="P692"/>
    </row>
    <row r="693" spans="5:16" x14ac:dyDescent="0.5">
      <c r="E693"/>
      <c r="F693"/>
      <c r="G693"/>
      <c r="H693"/>
      <c r="I693"/>
      <c r="J693"/>
      <c r="K693"/>
      <c r="L693"/>
      <c r="M693"/>
      <c r="N693"/>
      <c r="O693"/>
      <c r="P693"/>
    </row>
    <row r="694" spans="5:16" x14ac:dyDescent="0.5">
      <c r="E694"/>
      <c r="F694"/>
      <c r="G694"/>
      <c r="H694"/>
      <c r="I694"/>
      <c r="J694"/>
      <c r="K694"/>
      <c r="L694"/>
      <c r="M694"/>
      <c r="N694"/>
      <c r="O694"/>
      <c r="P694"/>
    </row>
    <row r="695" spans="5:16" x14ac:dyDescent="0.5">
      <c r="E695"/>
      <c r="F695"/>
      <c r="G695"/>
      <c r="H695"/>
      <c r="I695"/>
      <c r="J695"/>
      <c r="K695"/>
      <c r="L695"/>
      <c r="M695"/>
      <c r="N695"/>
      <c r="O695"/>
      <c r="P695"/>
    </row>
    <row r="696" spans="5:16" x14ac:dyDescent="0.5">
      <c r="E696"/>
      <c r="F696"/>
      <c r="G696"/>
      <c r="H696"/>
      <c r="I696"/>
      <c r="J696"/>
      <c r="K696"/>
      <c r="L696"/>
      <c r="M696"/>
      <c r="N696"/>
      <c r="O696"/>
      <c r="P696"/>
    </row>
    <row r="697" spans="5:16" x14ac:dyDescent="0.5">
      <c r="E697"/>
      <c r="F697"/>
      <c r="G697"/>
      <c r="H697"/>
      <c r="I697"/>
      <c r="J697"/>
      <c r="K697"/>
      <c r="L697"/>
      <c r="M697"/>
      <c r="N697"/>
      <c r="O697"/>
      <c r="P697"/>
    </row>
    <row r="698" spans="5:16" x14ac:dyDescent="0.5">
      <c r="E698"/>
      <c r="F698"/>
      <c r="G698"/>
      <c r="H698"/>
      <c r="I698"/>
      <c r="J698"/>
      <c r="K698"/>
      <c r="L698"/>
      <c r="M698"/>
      <c r="N698"/>
      <c r="O698"/>
      <c r="P698"/>
    </row>
    <row r="699" spans="5:16" x14ac:dyDescent="0.5">
      <c r="E699"/>
      <c r="F699"/>
      <c r="G699"/>
      <c r="H699"/>
      <c r="I699"/>
      <c r="J699"/>
      <c r="K699"/>
      <c r="L699"/>
      <c r="M699"/>
      <c r="N699"/>
      <c r="O699"/>
      <c r="P699"/>
    </row>
    <row r="700" spans="5:16" x14ac:dyDescent="0.5">
      <c r="E700"/>
      <c r="F700"/>
      <c r="G700"/>
      <c r="H700"/>
      <c r="I700"/>
      <c r="J700"/>
      <c r="K700"/>
      <c r="L700"/>
      <c r="M700"/>
      <c r="N700"/>
      <c r="O700"/>
      <c r="P700"/>
    </row>
    <row r="701" spans="5:16" x14ac:dyDescent="0.5">
      <c r="E701"/>
      <c r="F701"/>
      <c r="G701"/>
      <c r="H701"/>
      <c r="I701"/>
      <c r="J701"/>
      <c r="K701"/>
      <c r="L701"/>
      <c r="M701"/>
      <c r="N701"/>
      <c r="O701"/>
      <c r="P701"/>
    </row>
    <row r="702" spans="5:16" x14ac:dyDescent="0.5">
      <c r="E702"/>
      <c r="F702"/>
      <c r="G702"/>
      <c r="H702"/>
      <c r="I702"/>
      <c r="J702"/>
      <c r="K702"/>
      <c r="L702"/>
      <c r="M702"/>
      <c r="N702"/>
      <c r="O702"/>
      <c r="P702"/>
    </row>
    <row r="703" spans="5:16" x14ac:dyDescent="0.5">
      <c r="E703"/>
      <c r="F703"/>
      <c r="G703"/>
      <c r="H703"/>
      <c r="I703"/>
      <c r="J703"/>
      <c r="K703"/>
      <c r="L703"/>
      <c r="M703"/>
      <c r="N703"/>
      <c r="O703"/>
      <c r="P703"/>
    </row>
    <row r="704" spans="5:16" x14ac:dyDescent="0.5">
      <c r="E704"/>
      <c r="F704"/>
      <c r="G704"/>
      <c r="H704"/>
      <c r="I704"/>
      <c r="J704"/>
      <c r="K704"/>
      <c r="L704"/>
      <c r="M704"/>
      <c r="N704"/>
      <c r="O704"/>
      <c r="P704"/>
    </row>
    <row r="705" spans="5:16" x14ac:dyDescent="0.5">
      <c r="E705"/>
      <c r="F705"/>
      <c r="G705"/>
      <c r="H705"/>
      <c r="I705"/>
      <c r="J705"/>
      <c r="K705"/>
      <c r="L705"/>
      <c r="M705"/>
      <c r="N705"/>
      <c r="O705"/>
      <c r="P705"/>
    </row>
    <row r="706" spans="5:16" x14ac:dyDescent="0.5">
      <c r="E706"/>
      <c r="F706"/>
      <c r="G706"/>
      <c r="H706"/>
      <c r="I706"/>
      <c r="J706"/>
      <c r="K706"/>
      <c r="L706"/>
      <c r="M706"/>
      <c r="N706"/>
      <c r="O706"/>
      <c r="P706"/>
    </row>
    <row r="707" spans="5:16" x14ac:dyDescent="0.5">
      <c r="E707"/>
      <c r="F707"/>
      <c r="G707"/>
      <c r="H707"/>
      <c r="I707"/>
      <c r="J707"/>
      <c r="K707"/>
      <c r="L707"/>
      <c r="M707"/>
      <c r="N707"/>
      <c r="O707"/>
      <c r="P707"/>
    </row>
    <row r="708" spans="5:16" x14ac:dyDescent="0.5">
      <c r="E708"/>
      <c r="F708"/>
      <c r="G708"/>
      <c r="H708"/>
      <c r="I708"/>
      <c r="J708"/>
      <c r="K708"/>
      <c r="L708"/>
      <c r="M708"/>
      <c r="N708"/>
      <c r="O708"/>
      <c r="P708"/>
    </row>
    <row r="709" spans="5:16" x14ac:dyDescent="0.5">
      <c r="E709"/>
      <c r="F709"/>
      <c r="G709"/>
      <c r="H709"/>
      <c r="I709"/>
      <c r="J709"/>
      <c r="K709"/>
      <c r="L709"/>
      <c r="M709"/>
      <c r="N709"/>
      <c r="O709"/>
      <c r="P709"/>
    </row>
    <row r="710" spans="5:16" x14ac:dyDescent="0.5">
      <c r="E710"/>
      <c r="F710"/>
      <c r="G710"/>
      <c r="H710"/>
      <c r="I710"/>
      <c r="J710"/>
      <c r="K710"/>
      <c r="L710"/>
      <c r="M710"/>
      <c r="N710"/>
      <c r="O710"/>
      <c r="P710"/>
    </row>
    <row r="711" spans="5:16" x14ac:dyDescent="0.5">
      <c r="E711"/>
      <c r="F711"/>
      <c r="G711"/>
      <c r="H711"/>
      <c r="I711"/>
      <c r="J711"/>
      <c r="K711"/>
      <c r="L711"/>
      <c r="M711"/>
      <c r="N711"/>
      <c r="O711"/>
      <c r="P711"/>
    </row>
    <row r="712" spans="5:16" x14ac:dyDescent="0.5">
      <c r="E712"/>
      <c r="F712"/>
      <c r="G712"/>
      <c r="H712"/>
      <c r="I712"/>
      <c r="J712"/>
      <c r="K712"/>
      <c r="L712"/>
      <c r="M712"/>
      <c r="N712"/>
      <c r="O712"/>
      <c r="P712"/>
    </row>
    <row r="713" spans="5:16" x14ac:dyDescent="0.5">
      <c r="E713"/>
      <c r="F713"/>
      <c r="G713"/>
      <c r="H713"/>
      <c r="I713"/>
      <c r="J713"/>
      <c r="K713"/>
      <c r="L713"/>
      <c r="M713"/>
      <c r="N713"/>
      <c r="O713"/>
      <c r="P713"/>
    </row>
    <row r="714" spans="5:16" x14ac:dyDescent="0.5">
      <c r="E714"/>
      <c r="F714"/>
      <c r="G714"/>
      <c r="H714"/>
      <c r="I714"/>
      <c r="J714"/>
      <c r="K714"/>
      <c r="L714"/>
      <c r="M714"/>
      <c r="N714"/>
      <c r="O714"/>
      <c r="P714"/>
    </row>
    <row r="715" spans="5:16" x14ac:dyDescent="0.5">
      <c r="E715"/>
      <c r="F715"/>
      <c r="G715"/>
      <c r="H715"/>
      <c r="I715"/>
      <c r="J715"/>
      <c r="K715"/>
      <c r="L715"/>
      <c r="M715"/>
      <c r="N715"/>
      <c r="O715"/>
      <c r="P715"/>
    </row>
    <row r="716" spans="5:16" x14ac:dyDescent="0.5">
      <c r="E716"/>
      <c r="F716"/>
      <c r="G716"/>
      <c r="H716"/>
      <c r="I716"/>
      <c r="J716"/>
      <c r="K716"/>
      <c r="L716"/>
      <c r="M716"/>
      <c r="N716"/>
      <c r="O716"/>
      <c r="P716"/>
    </row>
    <row r="717" spans="5:16" x14ac:dyDescent="0.5">
      <c r="E717"/>
      <c r="F717"/>
      <c r="G717"/>
      <c r="H717"/>
      <c r="I717"/>
      <c r="J717"/>
      <c r="K717"/>
      <c r="L717"/>
      <c r="M717"/>
      <c r="N717"/>
      <c r="O717"/>
      <c r="P717"/>
    </row>
    <row r="718" spans="5:16" x14ac:dyDescent="0.5">
      <c r="E718"/>
      <c r="F718"/>
      <c r="G718"/>
      <c r="H718"/>
      <c r="I718"/>
      <c r="J718"/>
      <c r="K718"/>
      <c r="L718"/>
      <c r="M718"/>
      <c r="N718"/>
      <c r="O718"/>
      <c r="P718"/>
    </row>
    <row r="719" spans="5:16" x14ac:dyDescent="0.5">
      <c r="E719"/>
      <c r="F719"/>
      <c r="G719"/>
      <c r="H719"/>
      <c r="I719"/>
      <c r="J719"/>
      <c r="K719"/>
      <c r="L719"/>
      <c r="M719"/>
      <c r="N719"/>
      <c r="O719"/>
      <c r="P719"/>
    </row>
    <row r="720" spans="5:16" x14ac:dyDescent="0.5">
      <c r="E720"/>
      <c r="F720"/>
      <c r="G720"/>
      <c r="H720"/>
      <c r="I720"/>
      <c r="J720"/>
      <c r="K720"/>
      <c r="L720"/>
      <c r="M720"/>
      <c r="N720"/>
      <c r="O720"/>
      <c r="P720"/>
    </row>
    <row r="721" spans="5:16" x14ac:dyDescent="0.5">
      <c r="E721"/>
      <c r="F721"/>
      <c r="G721"/>
      <c r="H721"/>
      <c r="I721"/>
      <c r="J721"/>
      <c r="K721"/>
      <c r="L721"/>
      <c r="M721"/>
      <c r="N721"/>
      <c r="O721"/>
      <c r="P721"/>
    </row>
    <row r="722" spans="5:16" x14ac:dyDescent="0.5">
      <c r="E722"/>
      <c r="F722"/>
      <c r="G722"/>
      <c r="H722"/>
      <c r="I722"/>
      <c r="J722"/>
      <c r="K722"/>
      <c r="L722"/>
      <c r="M722"/>
      <c r="N722"/>
      <c r="O722"/>
      <c r="P722"/>
    </row>
    <row r="723" spans="5:16" x14ac:dyDescent="0.5">
      <c r="E723"/>
      <c r="F723"/>
      <c r="G723"/>
      <c r="H723"/>
      <c r="I723"/>
      <c r="J723"/>
      <c r="K723"/>
      <c r="L723"/>
      <c r="M723"/>
      <c r="N723"/>
      <c r="O723"/>
      <c r="P723"/>
    </row>
    <row r="724" spans="5:16" x14ac:dyDescent="0.5">
      <c r="E724"/>
      <c r="F724"/>
      <c r="G724"/>
      <c r="H724"/>
      <c r="I724"/>
      <c r="J724"/>
      <c r="K724"/>
      <c r="L724"/>
      <c r="M724"/>
      <c r="N724"/>
      <c r="O724"/>
      <c r="P724"/>
    </row>
    <row r="725" spans="5:16" x14ac:dyDescent="0.5">
      <c r="E725"/>
      <c r="F725"/>
      <c r="G725"/>
      <c r="H725"/>
      <c r="I725"/>
      <c r="J725"/>
      <c r="K725"/>
      <c r="L725"/>
      <c r="M725"/>
      <c r="N725"/>
      <c r="O725"/>
      <c r="P725"/>
    </row>
    <row r="726" spans="5:16" x14ac:dyDescent="0.5">
      <c r="E726"/>
      <c r="F726"/>
      <c r="G726"/>
      <c r="H726"/>
      <c r="I726"/>
      <c r="J726"/>
      <c r="K726"/>
      <c r="L726"/>
      <c r="M726"/>
      <c r="N726"/>
      <c r="O726"/>
      <c r="P726"/>
    </row>
    <row r="727" spans="5:16" x14ac:dyDescent="0.5">
      <c r="E727"/>
      <c r="F727"/>
      <c r="G727"/>
      <c r="H727"/>
      <c r="I727"/>
      <c r="J727"/>
      <c r="K727"/>
      <c r="L727"/>
      <c r="M727"/>
      <c r="N727"/>
      <c r="O727"/>
      <c r="P727"/>
    </row>
    <row r="728" spans="5:16" x14ac:dyDescent="0.5">
      <c r="E728"/>
      <c r="F728"/>
      <c r="G728"/>
      <c r="H728"/>
      <c r="I728"/>
      <c r="J728"/>
      <c r="K728"/>
      <c r="L728"/>
      <c r="M728"/>
      <c r="N728"/>
      <c r="O728"/>
      <c r="P728"/>
    </row>
    <row r="729" spans="5:16" x14ac:dyDescent="0.5">
      <c r="E729"/>
      <c r="F729"/>
      <c r="G729"/>
      <c r="H729"/>
      <c r="I729"/>
      <c r="J729"/>
      <c r="K729"/>
      <c r="L729"/>
      <c r="M729"/>
      <c r="N729"/>
      <c r="O729"/>
      <c r="P729"/>
    </row>
    <row r="730" spans="5:16" x14ac:dyDescent="0.5">
      <c r="E730"/>
      <c r="F730"/>
      <c r="G730"/>
      <c r="H730"/>
      <c r="I730"/>
      <c r="J730"/>
      <c r="K730"/>
      <c r="L730"/>
      <c r="M730"/>
      <c r="N730"/>
      <c r="O730"/>
      <c r="P730"/>
    </row>
    <row r="731" spans="5:16" x14ac:dyDescent="0.5">
      <c r="E731"/>
      <c r="F731"/>
      <c r="G731"/>
      <c r="H731"/>
      <c r="I731"/>
      <c r="J731"/>
      <c r="K731"/>
      <c r="L731"/>
      <c r="M731"/>
      <c r="N731"/>
      <c r="O731"/>
      <c r="P731"/>
    </row>
    <row r="732" spans="5:16" x14ac:dyDescent="0.5">
      <c r="E732"/>
      <c r="F732"/>
      <c r="G732"/>
      <c r="H732"/>
      <c r="I732"/>
      <c r="J732"/>
      <c r="K732"/>
      <c r="L732"/>
      <c r="M732"/>
      <c r="N732"/>
      <c r="O732"/>
      <c r="P732"/>
    </row>
    <row r="733" spans="5:16" x14ac:dyDescent="0.5">
      <c r="E733"/>
      <c r="F733"/>
      <c r="G733"/>
      <c r="H733"/>
      <c r="I733"/>
      <c r="J733"/>
      <c r="K733"/>
      <c r="L733"/>
      <c r="M733"/>
      <c r="N733"/>
      <c r="O733"/>
      <c r="P733"/>
    </row>
    <row r="734" spans="5:16" x14ac:dyDescent="0.5">
      <c r="E734"/>
      <c r="F734"/>
      <c r="G734"/>
      <c r="H734"/>
      <c r="I734"/>
      <c r="J734"/>
      <c r="K734"/>
      <c r="L734"/>
      <c r="M734"/>
      <c r="N734"/>
      <c r="O734"/>
      <c r="P734"/>
    </row>
    <row r="735" spans="5:16" x14ac:dyDescent="0.5">
      <c r="E735"/>
      <c r="F735"/>
      <c r="G735"/>
      <c r="H735"/>
      <c r="I735"/>
      <c r="J735"/>
      <c r="K735"/>
      <c r="L735"/>
      <c r="M735"/>
      <c r="N735"/>
      <c r="O735"/>
      <c r="P735"/>
    </row>
    <row r="736" spans="5:16" x14ac:dyDescent="0.5">
      <c r="E736"/>
      <c r="F736"/>
      <c r="G736"/>
      <c r="H736"/>
      <c r="I736"/>
      <c r="J736"/>
      <c r="K736"/>
      <c r="L736"/>
      <c r="M736"/>
      <c r="N736"/>
      <c r="O736"/>
      <c r="P736"/>
    </row>
    <row r="737" spans="5:16" x14ac:dyDescent="0.5">
      <c r="E737"/>
      <c r="F737"/>
      <c r="G737"/>
      <c r="H737"/>
      <c r="I737"/>
      <c r="J737"/>
      <c r="K737"/>
      <c r="L737"/>
      <c r="M737"/>
      <c r="N737"/>
      <c r="O737"/>
      <c r="P737"/>
    </row>
    <row r="738" spans="5:16" x14ac:dyDescent="0.5">
      <c r="E738"/>
      <c r="F738"/>
      <c r="G738"/>
      <c r="H738"/>
      <c r="I738"/>
      <c r="J738"/>
      <c r="K738"/>
      <c r="L738"/>
      <c r="M738"/>
      <c r="N738"/>
      <c r="O738"/>
      <c r="P738"/>
    </row>
    <row r="739" spans="5:16" x14ac:dyDescent="0.5">
      <c r="E739"/>
      <c r="F739"/>
      <c r="G739"/>
      <c r="H739"/>
      <c r="I739"/>
      <c r="J739"/>
      <c r="K739"/>
      <c r="L739"/>
      <c r="M739"/>
      <c r="N739"/>
      <c r="O739"/>
      <c r="P739"/>
    </row>
    <row r="740" spans="5:16" x14ac:dyDescent="0.5">
      <c r="E740"/>
      <c r="F740"/>
      <c r="G740"/>
      <c r="H740"/>
      <c r="I740"/>
      <c r="J740"/>
      <c r="K740"/>
      <c r="L740"/>
      <c r="M740"/>
      <c r="N740"/>
      <c r="O740"/>
      <c r="P740"/>
    </row>
    <row r="741" spans="5:16" x14ac:dyDescent="0.5">
      <c r="E741"/>
      <c r="F741"/>
      <c r="G741"/>
      <c r="H741"/>
      <c r="I741"/>
      <c r="J741"/>
      <c r="K741"/>
      <c r="L741"/>
      <c r="M741"/>
      <c r="N741"/>
      <c r="O741"/>
      <c r="P741"/>
    </row>
    <row r="742" spans="5:16" x14ac:dyDescent="0.5">
      <c r="E742"/>
      <c r="F742"/>
      <c r="G742"/>
      <c r="H742"/>
      <c r="I742"/>
      <c r="J742"/>
      <c r="K742"/>
      <c r="L742"/>
      <c r="M742"/>
      <c r="N742"/>
      <c r="O742"/>
      <c r="P742"/>
    </row>
    <row r="743" spans="5:16" x14ac:dyDescent="0.5">
      <c r="E743"/>
      <c r="F743"/>
      <c r="G743"/>
      <c r="H743"/>
      <c r="I743"/>
      <c r="J743"/>
      <c r="K743"/>
      <c r="L743"/>
      <c r="M743"/>
      <c r="N743"/>
      <c r="O743"/>
      <c r="P743"/>
    </row>
    <row r="744" spans="5:16" x14ac:dyDescent="0.5">
      <c r="E744"/>
      <c r="F744"/>
      <c r="G744"/>
      <c r="H744"/>
      <c r="I744"/>
      <c r="J744"/>
      <c r="K744"/>
      <c r="L744"/>
      <c r="M744"/>
      <c r="N744"/>
      <c r="O744"/>
      <c r="P744"/>
    </row>
    <row r="745" spans="5:16" x14ac:dyDescent="0.5">
      <c r="E745"/>
      <c r="F745"/>
      <c r="G745"/>
      <c r="H745"/>
      <c r="I745"/>
      <c r="J745"/>
      <c r="K745"/>
      <c r="L745"/>
      <c r="M745"/>
      <c r="N745"/>
      <c r="O745"/>
      <c r="P745"/>
    </row>
    <row r="746" spans="5:16" x14ac:dyDescent="0.5">
      <c r="E746"/>
      <c r="F746"/>
      <c r="G746"/>
      <c r="H746"/>
      <c r="I746"/>
      <c r="J746"/>
      <c r="K746"/>
      <c r="L746"/>
      <c r="M746"/>
      <c r="N746"/>
      <c r="O746"/>
      <c r="P746"/>
    </row>
    <row r="747" spans="5:16" x14ac:dyDescent="0.5">
      <c r="E747"/>
      <c r="F747"/>
      <c r="G747"/>
      <c r="H747"/>
      <c r="I747"/>
      <c r="J747"/>
      <c r="K747"/>
      <c r="L747"/>
      <c r="M747"/>
      <c r="N747"/>
      <c r="O747"/>
      <c r="P747"/>
    </row>
    <row r="748" spans="5:16" x14ac:dyDescent="0.5">
      <c r="E748"/>
      <c r="F748"/>
      <c r="G748"/>
      <c r="H748"/>
      <c r="I748"/>
      <c r="J748"/>
      <c r="K748"/>
      <c r="L748"/>
      <c r="M748"/>
      <c r="N748"/>
      <c r="O748"/>
      <c r="P748"/>
    </row>
    <row r="749" spans="5:16" x14ac:dyDescent="0.5">
      <c r="E749"/>
      <c r="F749"/>
      <c r="G749"/>
      <c r="H749"/>
      <c r="I749"/>
      <c r="J749"/>
      <c r="K749"/>
      <c r="L749"/>
      <c r="M749"/>
      <c r="N749"/>
      <c r="O749"/>
      <c r="P749"/>
    </row>
    <row r="750" spans="5:16" x14ac:dyDescent="0.5">
      <c r="E750"/>
      <c r="F750"/>
      <c r="G750"/>
      <c r="H750"/>
      <c r="I750"/>
      <c r="J750"/>
      <c r="K750"/>
      <c r="L750"/>
      <c r="M750"/>
      <c r="N750"/>
      <c r="O750"/>
      <c r="P750"/>
    </row>
    <row r="751" spans="5:16" x14ac:dyDescent="0.5">
      <c r="E751"/>
      <c r="F751"/>
      <c r="G751"/>
      <c r="H751"/>
      <c r="I751"/>
      <c r="J751"/>
      <c r="K751"/>
      <c r="L751"/>
      <c r="M751"/>
      <c r="N751"/>
      <c r="O751"/>
      <c r="P751"/>
    </row>
    <row r="752" spans="5:16" x14ac:dyDescent="0.5">
      <c r="E752"/>
      <c r="F752"/>
      <c r="G752"/>
      <c r="H752"/>
      <c r="I752"/>
      <c r="J752"/>
      <c r="K752"/>
      <c r="L752"/>
      <c r="M752"/>
      <c r="N752"/>
      <c r="O752"/>
      <c r="P752"/>
    </row>
    <row r="753" spans="5:16" x14ac:dyDescent="0.5">
      <c r="E753"/>
      <c r="F753"/>
      <c r="G753"/>
      <c r="H753"/>
      <c r="I753"/>
      <c r="J753"/>
      <c r="K753"/>
      <c r="L753"/>
      <c r="M753"/>
      <c r="N753"/>
      <c r="O753"/>
      <c r="P753"/>
    </row>
    <row r="754" spans="5:16" x14ac:dyDescent="0.5">
      <c r="E754"/>
      <c r="F754"/>
      <c r="G754"/>
      <c r="H754"/>
      <c r="I754"/>
      <c r="J754"/>
      <c r="K754"/>
      <c r="L754"/>
      <c r="M754"/>
      <c r="N754"/>
      <c r="O754"/>
      <c r="P754"/>
    </row>
    <row r="755" spans="5:16" x14ac:dyDescent="0.5">
      <c r="E755"/>
      <c r="F755"/>
      <c r="G755"/>
      <c r="H755"/>
      <c r="I755"/>
      <c r="J755"/>
      <c r="K755"/>
      <c r="L755"/>
      <c r="M755"/>
      <c r="N755"/>
      <c r="O755"/>
      <c r="P755"/>
    </row>
    <row r="756" spans="5:16" x14ac:dyDescent="0.5">
      <c r="E756"/>
      <c r="F756"/>
      <c r="G756"/>
      <c r="H756"/>
      <c r="I756"/>
      <c r="J756"/>
      <c r="K756"/>
      <c r="L756"/>
      <c r="M756"/>
      <c r="N756"/>
      <c r="O756"/>
      <c r="P756"/>
    </row>
    <row r="757" spans="5:16" x14ac:dyDescent="0.5">
      <c r="E757"/>
      <c r="F757"/>
      <c r="G757"/>
      <c r="H757"/>
      <c r="I757"/>
      <c r="J757"/>
      <c r="K757"/>
      <c r="L757"/>
      <c r="M757"/>
      <c r="N757"/>
      <c r="O757"/>
      <c r="P757"/>
    </row>
    <row r="758" spans="5:16" x14ac:dyDescent="0.5">
      <c r="E758"/>
      <c r="F758"/>
      <c r="G758"/>
      <c r="H758"/>
      <c r="I758"/>
      <c r="J758"/>
      <c r="K758"/>
      <c r="L758"/>
      <c r="M758"/>
      <c r="N758"/>
      <c r="O758"/>
      <c r="P758"/>
    </row>
    <row r="759" spans="5:16" x14ac:dyDescent="0.5">
      <c r="E759"/>
      <c r="F759"/>
      <c r="G759"/>
      <c r="H759"/>
      <c r="I759"/>
      <c r="J759"/>
      <c r="K759"/>
      <c r="L759"/>
      <c r="M759"/>
      <c r="N759"/>
      <c r="O759"/>
      <c r="P759"/>
    </row>
    <row r="760" spans="5:16" x14ac:dyDescent="0.5">
      <c r="E760"/>
      <c r="F760"/>
      <c r="G760"/>
      <c r="H760"/>
      <c r="I760"/>
      <c r="J760"/>
      <c r="K760"/>
      <c r="L760"/>
      <c r="M760"/>
      <c r="N760"/>
      <c r="O760"/>
      <c r="P760"/>
    </row>
    <row r="761" spans="5:16" x14ac:dyDescent="0.5">
      <c r="E761"/>
      <c r="F761"/>
      <c r="G761"/>
      <c r="H761"/>
      <c r="I761"/>
      <c r="J761"/>
      <c r="K761"/>
      <c r="L761"/>
      <c r="M761"/>
      <c r="N761"/>
      <c r="O761"/>
      <c r="P761"/>
    </row>
    <row r="762" spans="5:16" x14ac:dyDescent="0.5">
      <c r="E762"/>
      <c r="F762"/>
      <c r="G762"/>
      <c r="H762"/>
      <c r="I762"/>
      <c r="J762"/>
      <c r="K762"/>
      <c r="L762"/>
      <c r="M762"/>
      <c r="N762"/>
      <c r="O762"/>
      <c r="P762"/>
    </row>
    <row r="763" spans="5:16" x14ac:dyDescent="0.5">
      <c r="E763"/>
      <c r="F763"/>
      <c r="G763"/>
      <c r="H763"/>
      <c r="I763"/>
      <c r="J763"/>
      <c r="K763"/>
      <c r="L763"/>
      <c r="M763"/>
      <c r="N763"/>
      <c r="O763"/>
      <c r="P763"/>
    </row>
    <row r="764" spans="5:16" x14ac:dyDescent="0.5">
      <c r="E764"/>
      <c r="F764"/>
      <c r="G764"/>
      <c r="H764"/>
      <c r="I764"/>
      <c r="J764"/>
      <c r="K764"/>
      <c r="L764"/>
      <c r="M764"/>
      <c r="N764"/>
      <c r="O764"/>
      <c r="P764"/>
    </row>
    <row r="765" spans="5:16" x14ac:dyDescent="0.5">
      <c r="E765"/>
      <c r="F765"/>
      <c r="G765"/>
      <c r="H765"/>
      <c r="I765"/>
      <c r="J765"/>
      <c r="K765"/>
      <c r="L765"/>
      <c r="M765"/>
      <c r="N765"/>
      <c r="O765"/>
      <c r="P765"/>
    </row>
    <row r="766" spans="5:16" x14ac:dyDescent="0.5">
      <c r="E766"/>
      <c r="F766"/>
      <c r="G766"/>
      <c r="H766"/>
      <c r="I766"/>
      <c r="J766"/>
      <c r="K766"/>
      <c r="L766"/>
      <c r="M766"/>
      <c r="N766"/>
      <c r="O766"/>
      <c r="P766"/>
    </row>
    <row r="767" spans="5:16" x14ac:dyDescent="0.5">
      <c r="E767"/>
      <c r="F767"/>
      <c r="G767"/>
      <c r="H767"/>
      <c r="I767"/>
      <c r="J767"/>
      <c r="K767"/>
      <c r="L767"/>
      <c r="M767"/>
      <c r="N767"/>
      <c r="O767"/>
      <c r="P767"/>
    </row>
    <row r="768" spans="5:16" x14ac:dyDescent="0.5">
      <c r="E768"/>
      <c r="F768"/>
      <c r="G768"/>
      <c r="H768"/>
      <c r="I768"/>
      <c r="J768"/>
      <c r="K768"/>
      <c r="L768"/>
      <c r="M768"/>
      <c r="N768"/>
      <c r="O768"/>
      <c r="P768"/>
    </row>
    <row r="769" spans="5:16" x14ac:dyDescent="0.5">
      <c r="E769"/>
      <c r="F769"/>
      <c r="G769"/>
      <c r="H769"/>
      <c r="I769"/>
      <c r="J769"/>
      <c r="K769"/>
      <c r="L769"/>
      <c r="M769"/>
      <c r="N769"/>
      <c r="O769"/>
      <c r="P769"/>
    </row>
    <row r="770" spans="5:16" x14ac:dyDescent="0.5">
      <c r="E770"/>
      <c r="F770"/>
      <c r="G770"/>
      <c r="H770"/>
      <c r="I770"/>
      <c r="J770"/>
      <c r="K770"/>
      <c r="L770"/>
      <c r="M770"/>
      <c r="N770"/>
      <c r="O770"/>
      <c r="P770"/>
    </row>
    <row r="771" spans="5:16" x14ac:dyDescent="0.5">
      <c r="E771"/>
      <c r="F771"/>
      <c r="G771"/>
      <c r="H771"/>
      <c r="I771"/>
      <c r="J771"/>
      <c r="K771"/>
      <c r="L771"/>
      <c r="M771"/>
      <c r="N771"/>
      <c r="O771"/>
      <c r="P771"/>
    </row>
    <row r="772" spans="5:16" x14ac:dyDescent="0.5">
      <c r="E772"/>
      <c r="F772"/>
      <c r="G772"/>
      <c r="H772"/>
      <c r="I772"/>
      <c r="J772"/>
      <c r="K772"/>
      <c r="L772"/>
      <c r="M772"/>
      <c r="N772"/>
      <c r="O772"/>
      <c r="P772"/>
    </row>
    <row r="773" spans="5:16" x14ac:dyDescent="0.5">
      <c r="E773"/>
      <c r="F773"/>
      <c r="G773"/>
      <c r="H773"/>
      <c r="I773"/>
      <c r="J773"/>
      <c r="K773"/>
      <c r="L773"/>
      <c r="M773"/>
      <c r="N773"/>
      <c r="O773"/>
      <c r="P773"/>
    </row>
    <row r="774" spans="5:16" x14ac:dyDescent="0.5">
      <c r="E774"/>
      <c r="F774"/>
      <c r="G774"/>
      <c r="H774"/>
      <c r="I774"/>
      <c r="J774"/>
      <c r="K774"/>
      <c r="L774"/>
      <c r="M774"/>
      <c r="N774"/>
      <c r="O774"/>
      <c r="P774"/>
    </row>
    <row r="775" spans="5:16" x14ac:dyDescent="0.5">
      <c r="E775"/>
      <c r="F775"/>
      <c r="G775"/>
      <c r="H775"/>
      <c r="I775"/>
      <c r="J775"/>
      <c r="K775"/>
      <c r="L775"/>
      <c r="M775"/>
      <c r="N775"/>
      <c r="O775"/>
      <c r="P775"/>
    </row>
    <row r="776" spans="5:16" x14ac:dyDescent="0.5">
      <c r="E776"/>
      <c r="F776"/>
      <c r="G776"/>
      <c r="H776"/>
      <c r="I776"/>
      <c r="J776"/>
      <c r="K776"/>
      <c r="L776"/>
      <c r="M776"/>
      <c r="N776"/>
      <c r="O776"/>
      <c r="P776"/>
    </row>
    <row r="777" spans="5:16" x14ac:dyDescent="0.5">
      <c r="E777"/>
      <c r="F777"/>
      <c r="G777"/>
      <c r="H777"/>
      <c r="I777"/>
      <c r="J777"/>
      <c r="K777"/>
      <c r="L777"/>
      <c r="M777"/>
      <c r="N777"/>
      <c r="O777"/>
      <c r="P777"/>
    </row>
    <row r="778" spans="5:16" x14ac:dyDescent="0.5">
      <c r="E778"/>
      <c r="F778"/>
      <c r="G778"/>
      <c r="H778"/>
      <c r="I778"/>
      <c r="J778"/>
      <c r="K778"/>
      <c r="L778"/>
      <c r="M778"/>
      <c r="N778"/>
      <c r="O778"/>
      <c r="P778"/>
    </row>
    <row r="779" spans="5:16" x14ac:dyDescent="0.5">
      <c r="E779"/>
      <c r="F779"/>
      <c r="G779"/>
      <c r="H779"/>
      <c r="I779"/>
      <c r="J779"/>
      <c r="K779"/>
      <c r="L779"/>
      <c r="M779"/>
      <c r="N779"/>
      <c r="O779"/>
      <c r="P779"/>
    </row>
    <row r="780" spans="5:16" x14ac:dyDescent="0.5">
      <c r="E780"/>
      <c r="F780"/>
      <c r="G780"/>
      <c r="H780"/>
      <c r="I780"/>
      <c r="J780"/>
      <c r="K780"/>
      <c r="L780"/>
      <c r="M780"/>
      <c r="N780"/>
      <c r="O780"/>
      <c r="P780"/>
    </row>
    <row r="781" spans="5:16" x14ac:dyDescent="0.5">
      <c r="E781"/>
      <c r="F781"/>
      <c r="G781"/>
      <c r="H781"/>
      <c r="I781"/>
      <c r="J781"/>
      <c r="K781"/>
      <c r="L781"/>
      <c r="M781"/>
      <c r="N781"/>
      <c r="O781"/>
      <c r="P781"/>
    </row>
    <row r="782" spans="5:16" x14ac:dyDescent="0.5">
      <c r="E782"/>
      <c r="F782"/>
      <c r="G782"/>
      <c r="H782"/>
      <c r="I782"/>
      <c r="J782"/>
      <c r="K782"/>
      <c r="L782"/>
      <c r="M782"/>
      <c r="N782"/>
      <c r="O782"/>
      <c r="P782"/>
    </row>
    <row r="783" spans="5:16" x14ac:dyDescent="0.5">
      <c r="E783"/>
      <c r="F783"/>
      <c r="G783"/>
      <c r="H783"/>
      <c r="I783"/>
      <c r="J783"/>
      <c r="K783"/>
      <c r="L783"/>
      <c r="M783"/>
      <c r="N783"/>
      <c r="O783"/>
      <c r="P783"/>
    </row>
    <row r="784" spans="5:16" x14ac:dyDescent="0.5">
      <c r="E784"/>
      <c r="F784"/>
      <c r="G784"/>
      <c r="H784"/>
      <c r="I784"/>
      <c r="J784"/>
      <c r="K784"/>
      <c r="L784"/>
      <c r="M784"/>
      <c r="N784"/>
      <c r="O784"/>
      <c r="P784"/>
    </row>
    <row r="785" spans="5:16" x14ac:dyDescent="0.5">
      <c r="E785"/>
      <c r="F785"/>
      <c r="G785"/>
      <c r="H785"/>
      <c r="I785"/>
      <c r="J785"/>
      <c r="K785"/>
      <c r="L785"/>
      <c r="M785"/>
      <c r="N785"/>
      <c r="O785"/>
      <c r="P785"/>
    </row>
    <row r="786" spans="5:16" x14ac:dyDescent="0.5">
      <c r="E786"/>
      <c r="F786"/>
      <c r="G786"/>
      <c r="H786"/>
      <c r="I786"/>
      <c r="J786"/>
      <c r="K786"/>
      <c r="L786"/>
      <c r="M786"/>
      <c r="N786"/>
      <c r="O786"/>
      <c r="P786"/>
    </row>
    <row r="787" spans="5:16" x14ac:dyDescent="0.5">
      <c r="E787"/>
      <c r="F787"/>
      <c r="G787"/>
      <c r="H787"/>
      <c r="I787"/>
      <c r="J787"/>
      <c r="K787"/>
      <c r="L787"/>
      <c r="M787"/>
      <c r="N787"/>
      <c r="O787"/>
      <c r="P787"/>
    </row>
    <row r="788" spans="5:16" x14ac:dyDescent="0.5">
      <c r="E788"/>
      <c r="F788"/>
      <c r="G788"/>
      <c r="H788"/>
      <c r="I788"/>
      <c r="J788"/>
      <c r="K788"/>
      <c r="L788"/>
      <c r="M788"/>
      <c r="N788"/>
      <c r="O788"/>
      <c r="P78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3CCB-AC7F-4635-A487-B82CFC6ED938}">
  <dimension ref="AB12"/>
  <sheetViews>
    <sheetView showGridLines="0" tabSelected="1" zoomScale="85" zoomScaleNormal="85" workbookViewId="0">
      <selection activeCell="AF33" sqref="AF33"/>
    </sheetView>
  </sheetViews>
  <sheetFormatPr defaultRowHeight="18" x14ac:dyDescent="0.5"/>
  <sheetData>
    <row r="12" spans="28:28" x14ac:dyDescent="0.5">
      <c r="AB12"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dc:creator>
  <cp:lastModifiedBy>Vaishnavi Ramesh</cp:lastModifiedBy>
  <dcterms:created xsi:type="dcterms:W3CDTF">2026-02-20T07:42:41Z</dcterms:created>
  <dcterms:modified xsi:type="dcterms:W3CDTF">2026-05-19T14:28:38Z</dcterms:modified>
</cp:coreProperties>
</file>